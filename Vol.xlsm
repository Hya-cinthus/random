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yank\Desktop\Rotman\"/>
    </mc:Choice>
  </mc:AlternateContent>
  <xr:revisionPtr revIDLastSave="0" documentId="13_ncr:1_{3A6AB530-6D95-4901-97A6-9EB0AEE83F1E}" xr6:coauthVersionLast="44" xr6:coauthVersionMax="44" xr10:uidLastSave="{00000000-0000-0000-0000-000000000000}"/>
  <bookViews>
    <workbookView xWindow="-108" yWindow="-108" windowWidth="23256" windowHeight="12576" activeTab="1" xr2:uid="{F6CF153D-A09B-4085-9FB7-767C681BB268}"/>
  </bookViews>
  <sheets>
    <sheet name="Database" sheetId="1" r:id="rId1"/>
    <sheet name="Strat2" sheetId="2" r:id="rId2"/>
  </sheets>
  <definedNames>
    <definedName name="_xlnm._FilterDatabase" localSheetId="0" hidden="1">Database!$A$2:$I$43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8" i="2" l="1"/>
  <c r="N69" i="2" s="1"/>
  <c r="N70" i="2" s="1"/>
  <c r="N71" i="2" s="1"/>
  <c r="N72" i="2" s="1"/>
  <c r="N73" i="2" s="1"/>
  <c r="P67" i="2"/>
  <c r="P68" i="2" s="1"/>
  <c r="P69" i="2" s="1"/>
  <c r="P70" i="2" s="1"/>
  <c r="P71" i="2" s="1"/>
  <c r="P72" i="2" s="1"/>
  <c r="P73" i="2" s="1"/>
  <c r="O67" i="2"/>
  <c r="O68" i="2" s="1"/>
  <c r="O69" i="2" s="1"/>
  <c r="O70" i="2" s="1"/>
  <c r="O71" i="2" s="1"/>
  <c r="O72" i="2" s="1"/>
  <c r="O73" i="2" s="1"/>
  <c r="N67" i="2"/>
  <c r="P59" i="2"/>
  <c r="P60" i="2" s="1"/>
  <c r="P61" i="2" s="1"/>
  <c r="P62" i="2" s="1"/>
  <c r="P63" i="2" s="1"/>
  <c r="P64" i="2" s="1"/>
  <c r="P65" i="2" s="1"/>
  <c r="O59" i="2"/>
  <c r="O60" i="2" s="1"/>
  <c r="O61" i="2" s="1"/>
  <c r="O62" i="2" s="1"/>
  <c r="O63" i="2" s="1"/>
  <c r="O64" i="2" s="1"/>
  <c r="O65" i="2" s="1"/>
  <c r="N59" i="2"/>
  <c r="N60" i="2" s="1"/>
  <c r="N61" i="2" s="1"/>
  <c r="N62" i="2" s="1"/>
  <c r="N63" i="2" s="1"/>
  <c r="N64" i="2" s="1"/>
  <c r="N65" i="2" s="1"/>
  <c r="P49" i="2"/>
  <c r="P50" i="2" s="1"/>
  <c r="P51" i="2" s="1"/>
  <c r="P52" i="2" s="1"/>
  <c r="P53" i="2" s="1"/>
  <c r="P54" i="2" s="1"/>
  <c r="P55" i="2" s="1"/>
  <c r="P56" i="2" s="1"/>
  <c r="P57" i="2" s="1"/>
  <c r="O49" i="2"/>
  <c r="O50" i="2" s="1"/>
  <c r="O51" i="2" s="1"/>
  <c r="O52" i="2" s="1"/>
  <c r="O53" i="2" s="1"/>
  <c r="O54" i="2" s="1"/>
  <c r="O55" i="2" s="1"/>
  <c r="O56" i="2" s="1"/>
  <c r="O57" i="2" s="1"/>
  <c r="N49" i="2"/>
  <c r="N50" i="2" s="1"/>
  <c r="N51" i="2" s="1"/>
  <c r="N52" i="2" s="1"/>
  <c r="N53" i="2" s="1"/>
  <c r="N54" i="2" s="1"/>
  <c r="N55" i="2" s="1"/>
  <c r="N56" i="2" s="1"/>
  <c r="N57" i="2" s="1"/>
  <c r="P39" i="2"/>
  <c r="P40" i="2" s="1"/>
  <c r="P41" i="2" s="1"/>
  <c r="P42" i="2" s="1"/>
  <c r="P43" i="2" s="1"/>
  <c r="P44" i="2" s="1"/>
  <c r="P45" i="2" s="1"/>
  <c r="P46" i="2" s="1"/>
  <c r="P47" i="2" s="1"/>
  <c r="O39" i="2"/>
  <c r="O40" i="2" s="1"/>
  <c r="O41" i="2" s="1"/>
  <c r="O42" i="2" s="1"/>
  <c r="O43" i="2" s="1"/>
  <c r="O44" i="2" s="1"/>
  <c r="O45" i="2" s="1"/>
  <c r="O46" i="2" s="1"/>
  <c r="O47" i="2" s="1"/>
  <c r="N39" i="2"/>
  <c r="N40" i="2" s="1"/>
  <c r="N41" i="2" s="1"/>
  <c r="N42" i="2" s="1"/>
  <c r="N43" i="2" s="1"/>
  <c r="N44" i="2" s="1"/>
  <c r="N45" i="2" s="1"/>
  <c r="N46" i="2" s="1"/>
  <c r="N47" i="2" s="1"/>
  <c r="O29" i="2"/>
  <c r="O30" i="2" s="1"/>
  <c r="O31" i="2" s="1"/>
  <c r="O32" i="2" s="1"/>
  <c r="O33" i="2" s="1"/>
  <c r="O34" i="2" s="1"/>
  <c r="O35" i="2" s="1"/>
  <c r="O36" i="2" s="1"/>
  <c r="O37" i="2" s="1"/>
  <c r="P29" i="2"/>
  <c r="P30" i="2" s="1"/>
  <c r="P31" i="2" s="1"/>
  <c r="P32" i="2" s="1"/>
  <c r="P33" i="2" s="1"/>
  <c r="P34" i="2" s="1"/>
  <c r="P35" i="2" s="1"/>
  <c r="P36" i="2" s="1"/>
  <c r="P37" i="2" s="1"/>
  <c r="N29" i="2"/>
  <c r="N30" i="2" s="1"/>
  <c r="N31" i="2" s="1"/>
  <c r="N32" i="2" s="1"/>
  <c r="N33" i="2" s="1"/>
  <c r="N34" i="2" s="1"/>
  <c r="N35" i="2" s="1"/>
  <c r="N36" i="2" s="1"/>
  <c r="N37" i="2" s="1"/>
  <c r="O9" i="2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P9" i="2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D9" i="2" l="1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E8" i="2"/>
  <c r="D8" i="2"/>
  <c r="B5" i="2"/>
  <c r="B4" i="2"/>
  <c r="B2" i="2"/>
  <c r="B1" i="2"/>
  <c r="B3" i="2" l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D4" i="1"/>
  <c r="C4" i="1"/>
  <c r="B4" i="1"/>
  <c r="E4" i="1"/>
  <c r="G3" i="1"/>
  <c r="E41" i="1"/>
  <c r="G32" i="1"/>
  <c r="E29" i="1"/>
  <c r="H26" i="1"/>
  <c r="F8" i="1"/>
  <c r="G8" i="1"/>
  <c r="I34" i="1"/>
  <c r="E11" i="1"/>
  <c r="F19" i="1"/>
  <c r="E31" i="1"/>
  <c r="F22" i="1"/>
  <c r="I27" i="1"/>
  <c r="E32" i="1"/>
  <c r="H9" i="1"/>
  <c r="I19" i="1"/>
  <c r="H12" i="1"/>
  <c r="G5" i="1"/>
  <c r="H37" i="1"/>
  <c r="E34" i="1"/>
  <c r="F31" i="1"/>
  <c r="I42" i="1"/>
  <c r="I38" i="1"/>
  <c r="E10" i="1"/>
  <c r="H32" i="1"/>
  <c r="G42" i="1"/>
  <c r="E5" i="1"/>
  <c r="E25" i="1"/>
  <c r="I6" i="1"/>
  <c r="G10" i="1"/>
  <c r="I40" i="1"/>
  <c r="H41" i="1"/>
  <c r="F12" i="1"/>
  <c r="G38" i="1"/>
  <c r="F42" i="1"/>
  <c r="E43" i="1"/>
  <c r="F38" i="1"/>
  <c r="I30" i="1"/>
  <c r="I9" i="1"/>
  <c r="H8" i="1"/>
  <c r="E23" i="1"/>
  <c r="E19" i="1"/>
  <c r="G28" i="1"/>
  <c r="E24" i="1"/>
  <c r="I25" i="1"/>
  <c r="H21" i="1"/>
  <c r="F37" i="1"/>
  <c r="E3" i="1"/>
  <c r="H20" i="1"/>
  <c r="E18" i="1"/>
  <c r="H15" i="1"/>
  <c r="H22" i="1"/>
  <c r="F24" i="1"/>
  <c r="H38" i="1"/>
  <c r="I17" i="1"/>
  <c r="H35" i="1"/>
  <c r="I28" i="1"/>
  <c r="H6" i="1"/>
  <c r="E38" i="1"/>
  <c r="H14" i="1"/>
  <c r="F30" i="1"/>
  <c r="I39" i="1"/>
  <c r="E39" i="1"/>
  <c r="H4" i="1"/>
  <c r="E36" i="1"/>
  <c r="F15" i="1"/>
  <c r="E30" i="1"/>
  <c r="I43" i="1"/>
  <c r="G4" i="1"/>
  <c r="F39" i="1"/>
  <c r="E13" i="1"/>
  <c r="H16" i="1"/>
  <c r="E26" i="1"/>
  <c r="G25" i="1"/>
  <c r="H27" i="1"/>
  <c r="I22" i="1"/>
  <c r="H13" i="1"/>
  <c r="E40" i="1"/>
  <c r="I18" i="1"/>
  <c r="E8" i="1"/>
  <c r="H28" i="1"/>
  <c r="G20" i="1"/>
  <c r="F43" i="1"/>
  <c r="G26" i="1"/>
  <c r="H19" i="1"/>
  <c r="E37" i="1"/>
  <c r="I10" i="1"/>
  <c r="F9" i="1"/>
  <c r="F7" i="1"/>
  <c r="H7" i="1"/>
  <c r="H43" i="1"/>
  <c r="E17" i="1"/>
  <c r="G35" i="1"/>
  <c r="I5" i="1"/>
  <c r="I32" i="1"/>
  <c r="F28" i="1"/>
  <c r="I23" i="1"/>
  <c r="I26" i="1"/>
  <c r="E20" i="1"/>
  <c r="F26" i="1"/>
  <c r="I3" i="1"/>
  <c r="I29" i="1"/>
  <c r="F25" i="1"/>
  <c r="I7" i="1"/>
  <c r="F16" i="1"/>
  <c r="G27" i="1"/>
  <c r="E42" i="1"/>
  <c r="G36" i="1"/>
  <c r="G34" i="1"/>
  <c r="H25" i="1"/>
  <c r="G17" i="1"/>
  <c r="G13" i="1"/>
  <c r="E22" i="1"/>
  <c r="F11" i="1"/>
  <c r="F23" i="1"/>
  <c r="I20" i="1"/>
  <c r="G37" i="1"/>
  <c r="I37" i="1"/>
  <c r="E27" i="1"/>
  <c r="I16" i="1"/>
  <c r="G14" i="1"/>
  <c r="F6" i="1"/>
  <c r="H18" i="1"/>
  <c r="I41" i="1"/>
  <c r="G39" i="1"/>
  <c r="E21" i="1"/>
  <c r="E7" i="1"/>
  <c r="H36" i="1"/>
  <c r="H34" i="1"/>
  <c r="H39" i="1"/>
  <c r="G6" i="1"/>
  <c r="E33" i="1"/>
  <c r="E14" i="1"/>
  <c r="G22" i="1"/>
  <c r="G30" i="1"/>
  <c r="F41" i="1"/>
  <c r="F5" i="1"/>
  <c r="G9" i="1"/>
  <c r="H29" i="1"/>
  <c r="F27" i="1"/>
  <c r="I8" i="1"/>
  <c r="H23" i="1"/>
  <c r="I14" i="1"/>
  <c r="G12" i="1"/>
  <c r="I33" i="1"/>
  <c r="F34" i="1"/>
  <c r="E9" i="1"/>
  <c r="I15" i="1"/>
  <c r="I21" i="1"/>
  <c r="F35" i="1"/>
  <c r="F21" i="1"/>
  <c r="I11" i="1"/>
  <c r="F17" i="1"/>
  <c r="I13" i="1"/>
  <c r="F3" i="1"/>
  <c r="F36" i="1"/>
  <c r="G21" i="1"/>
  <c r="G15" i="1"/>
  <c r="E6" i="1"/>
  <c r="F4" i="1"/>
  <c r="G29" i="1"/>
  <c r="I35" i="1"/>
  <c r="G24" i="1"/>
  <c r="E35" i="1"/>
  <c r="I36" i="1"/>
  <c r="H33" i="1"/>
  <c r="F10" i="1"/>
  <c r="G23" i="1"/>
  <c r="F33" i="1"/>
  <c r="F14" i="1"/>
  <c r="H10" i="1"/>
  <c r="F13" i="1"/>
  <c r="I12" i="1"/>
  <c r="G7" i="1"/>
  <c r="E28" i="1"/>
  <c r="G18" i="1"/>
  <c r="E16" i="1"/>
  <c r="F20" i="1"/>
  <c r="G41" i="1"/>
  <c r="G33" i="1"/>
  <c r="G40" i="1"/>
  <c r="I24" i="1"/>
  <c r="H5" i="1"/>
  <c r="G16" i="1"/>
  <c r="H3" i="1"/>
  <c r="H11" i="1"/>
  <c r="H30" i="1"/>
  <c r="I4" i="1"/>
  <c r="F18" i="1"/>
  <c r="G19" i="1"/>
  <c r="I31" i="1"/>
  <c r="F40" i="1"/>
  <c r="E12" i="1"/>
  <c r="H40" i="1"/>
  <c r="H31" i="1"/>
  <c r="G43" i="1"/>
  <c r="H17" i="1"/>
  <c r="G31" i="1"/>
  <c r="F32" i="1"/>
  <c r="G11" i="1"/>
  <c r="E15" i="1"/>
  <c r="H24" i="1"/>
  <c r="H42" i="1"/>
  <c r="F29" i="1"/>
  <c r="H67" i="2" l="1"/>
  <c r="F69" i="2"/>
  <c r="G68" i="2"/>
  <c r="H71" i="2"/>
  <c r="G69" i="2"/>
  <c r="G73" i="2"/>
  <c r="F67" i="2"/>
  <c r="H73" i="2"/>
  <c r="G67" i="2"/>
  <c r="F71" i="2"/>
  <c r="H69" i="2"/>
  <c r="H72" i="2"/>
  <c r="F68" i="2"/>
  <c r="H66" i="2"/>
  <c r="G72" i="2"/>
  <c r="G71" i="2"/>
  <c r="F70" i="2"/>
  <c r="H68" i="2"/>
  <c r="F72" i="2"/>
  <c r="H70" i="2"/>
  <c r="G66" i="2"/>
  <c r="G70" i="2"/>
  <c r="F66" i="2"/>
  <c r="F61" i="2"/>
  <c r="G61" i="2"/>
  <c r="G62" i="2"/>
  <c r="F59" i="2"/>
  <c r="G60" i="2"/>
  <c r="F63" i="2"/>
  <c r="F60" i="2"/>
  <c r="G65" i="2"/>
  <c r="G64" i="2"/>
  <c r="F62" i="2"/>
  <c r="F64" i="2"/>
  <c r="G59" i="2"/>
  <c r="G63" i="2"/>
  <c r="G58" i="2"/>
  <c r="F58" i="2"/>
  <c r="H63" i="2"/>
  <c r="H58" i="2"/>
  <c r="H62" i="2"/>
  <c r="H60" i="2"/>
  <c r="H64" i="2"/>
  <c r="H59" i="2"/>
  <c r="H65" i="2"/>
  <c r="H61" i="2"/>
  <c r="F51" i="2"/>
  <c r="G51" i="2"/>
  <c r="G57" i="2"/>
  <c r="G52" i="2"/>
  <c r="G56" i="2"/>
  <c r="F49" i="2"/>
  <c r="G50" i="2"/>
  <c r="F53" i="2"/>
  <c r="F50" i="2"/>
  <c r="G55" i="2"/>
  <c r="G54" i="2"/>
  <c r="F52" i="2"/>
  <c r="F54" i="2"/>
  <c r="G49" i="2"/>
  <c r="G53" i="2"/>
  <c r="G48" i="2"/>
  <c r="F48" i="2"/>
  <c r="H57" i="2"/>
  <c r="H55" i="2"/>
  <c r="H52" i="2"/>
  <c r="H51" i="2"/>
  <c r="H50" i="2"/>
  <c r="H53" i="2"/>
  <c r="H56" i="2"/>
  <c r="H54" i="2"/>
  <c r="H49" i="2"/>
  <c r="H48" i="2"/>
  <c r="F34" i="2"/>
  <c r="F44" i="2"/>
  <c r="G36" i="2"/>
  <c r="F35" i="2"/>
  <c r="G38" i="2"/>
  <c r="F42" i="2"/>
  <c r="F32" i="2"/>
  <c r="G31" i="2"/>
  <c r="G41" i="2"/>
  <c r="F37" i="2"/>
  <c r="F39" i="2"/>
  <c r="F29" i="2"/>
  <c r="F43" i="2"/>
  <c r="F33" i="2"/>
  <c r="G43" i="2"/>
  <c r="G33" i="2"/>
  <c r="G34" i="2"/>
  <c r="G44" i="2"/>
  <c r="G39" i="2"/>
  <c r="G29" i="2"/>
  <c r="F36" i="2"/>
  <c r="F38" i="2"/>
  <c r="G40" i="2"/>
  <c r="G30" i="2"/>
  <c r="G35" i="2"/>
  <c r="F31" i="2"/>
  <c r="F41" i="2"/>
  <c r="G37" i="2"/>
  <c r="F30" i="2"/>
  <c r="F40" i="2"/>
  <c r="G42" i="2"/>
  <c r="G32" i="2"/>
  <c r="H44" i="2"/>
  <c r="H40" i="2"/>
  <c r="H36" i="2"/>
  <c r="H32" i="2"/>
  <c r="H35" i="2"/>
  <c r="H41" i="2"/>
  <c r="H37" i="2"/>
  <c r="H33" i="2"/>
  <c r="H29" i="2"/>
  <c r="H42" i="2"/>
  <c r="H38" i="2"/>
  <c r="H34" i="2"/>
  <c r="H30" i="2"/>
  <c r="H43" i="2"/>
  <c r="H39" i="2"/>
  <c r="H31" i="2"/>
  <c r="F28" i="2"/>
  <c r="H46" i="2"/>
  <c r="G45" i="2"/>
  <c r="G47" i="2"/>
  <c r="G46" i="2"/>
  <c r="H45" i="2"/>
  <c r="H47" i="2"/>
  <c r="H28" i="2"/>
  <c r="G28" i="2"/>
  <c r="H24" i="2"/>
  <c r="H22" i="2"/>
  <c r="H18" i="2"/>
  <c r="H16" i="2"/>
  <c r="H14" i="2"/>
  <c r="H12" i="2"/>
  <c r="H10" i="2"/>
  <c r="H27" i="2"/>
  <c r="H25" i="2"/>
  <c r="H23" i="2"/>
  <c r="H21" i="2"/>
  <c r="H19" i="2"/>
  <c r="H17" i="2"/>
  <c r="H15" i="2"/>
  <c r="H13" i="2"/>
  <c r="H11" i="2"/>
  <c r="H9" i="2"/>
  <c r="H26" i="2"/>
  <c r="H20" i="2"/>
  <c r="G26" i="2"/>
  <c r="G20" i="2"/>
  <c r="G14" i="2"/>
  <c r="G12" i="2"/>
  <c r="G10" i="2"/>
  <c r="H8" i="2"/>
  <c r="G24" i="2"/>
  <c r="G22" i="2"/>
  <c r="G18" i="2"/>
  <c r="G16" i="2"/>
  <c r="G27" i="2"/>
  <c r="G25" i="2"/>
  <c r="G23" i="2"/>
  <c r="G21" i="2"/>
  <c r="G19" i="2"/>
  <c r="G17" i="2"/>
  <c r="G15" i="2"/>
  <c r="G13" i="2"/>
  <c r="G11" i="2"/>
  <c r="G9" i="2"/>
  <c r="G8" i="2"/>
  <c r="F8" i="2"/>
  <c r="I66" i="2" l="1"/>
  <c r="K66" i="2" s="1"/>
  <c r="L66" i="2" s="1"/>
  <c r="I68" i="2"/>
  <c r="K68" i="2" s="1"/>
  <c r="L68" i="2" s="1"/>
  <c r="I69" i="2"/>
  <c r="K69" i="2" s="1"/>
  <c r="L69" i="2" s="1"/>
  <c r="I70" i="2"/>
  <c r="K70" i="2" s="1"/>
  <c r="L70" i="2" s="1"/>
  <c r="F73" i="2"/>
  <c r="I73" i="2" s="1"/>
  <c r="K73" i="2" s="1"/>
  <c r="L73" i="2" s="1"/>
  <c r="I72" i="2"/>
  <c r="K72" i="2" s="1"/>
  <c r="L72" i="2" s="1"/>
  <c r="I67" i="2"/>
  <c r="K67" i="2" s="1"/>
  <c r="L67" i="2" s="1"/>
  <c r="I71" i="2"/>
  <c r="K71" i="2" s="1"/>
  <c r="L71" i="2" s="1"/>
  <c r="I61" i="2"/>
  <c r="K61" i="2" s="1"/>
  <c r="L61" i="2" s="1"/>
  <c r="I62" i="2"/>
  <c r="K62" i="2" s="1"/>
  <c r="L62" i="2" s="1"/>
  <c r="I58" i="2"/>
  <c r="K58" i="2" s="1"/>
  <c r="L58" i="2" s="1"/>
  <c r="I60" i="2"/>
  <c r="K60" i="2" s="1"/>
  <c r="L60" i="2" s="1"/>
  <c r="I63" i="2"/>
  <c r="K63" i="2" s="1"/>
  <c r="L63" i="2" s="1"/>
  <c r="F65" i="2"/>
  <c r="I64" i="2"/>
  <c r="K64" i="2" s="1"/>
  <c r="L64" i="2" s="1"/>
  <c r="I53" i="2"/>
  <c r="K53" i="2" s="1"/>
  <c r="L53" i="2" s="1"/>
  <c r="I59" i="2"/>
  <c r="K59" i="2" s="1"/>
  <c r="L59" i="2" s="1"/>
  <c r="I50" i="2"/>
  <c r="K50" i="2" s="1"/>
  <c r="L50" i="2" s="1"/>
  <c r="I51" i="2"/>
  <c r="K51" i="2" s="1"/>
  <c r="L51" i="2" s="1"/>
  <c r="I52" i="2"/>
  <c r="K52" i="2" s="1"/>
  <c r="L52" i="2" s="1"/>
  <c r="I49" i="2"/>
  <c r="K49" i="2" s="1"/>
  <c r="L49" i="2" s="1"/>
  <c r="I48" i="2"/>
  <c r="K48" i="2" s="1"/>
  <c r="L48" i="2" s="1"/>
  <c r="I54" i="2"/>
  <c r="K54" i="2" s="1"/>
  <c r="L54" i="2" s="1"/>
  <c r="F55" i="2"/>
  <c r="I41" i="2"/>
  <c r="K41" i="2" s="1"/>
  <c r="L41" i="2" s="1"/>
  <c r="I38" i="2"/>
  <c r="K38" i="2" s="1"/>
  <c r="L38" i="2" s="1"/>
  <c r="I35" i="2"/>
  <c r="K35" i="2" s="1"/>
  <c r="L35" i="2" s="1"/>
  <c r="I40" i="2"/>
  <c r="K40" i="2" s="1"/>
  <c r="L40" i="2" s="1"/>
  <c r="I36" i="2"/>
  <c r="K36" i="2" s="1"/>
  <c r="L36" i="2" s="1"/>
  <c r="I43" i="2"/>
  <c r="K43" i="2" s="1"/>
  <c r="L43" i="2" s="1"/>
  <c r="I39" i="2"/>
  <c r="K39" i="2" s="1"/>
  <c r="L39" i="2" s="1"/>
  <c r="I32" i="2"/>
  <c r="K32" i="2" s="1"/>
  <c r="L32" i="2" s="1"/>
  <c r="I29" i="2"/>
  <c r="K29" i="2" s="1"/>
  <c r="L29" i="2" s="1"/>
  <c r="I31" i="2"/>
  <c r="K31" i="2" s="1"/>
  <c r="L31" i="2" s="1"/>
  <c r="I33" i="2"/>
  <c r="K33" i="2" s="1"/>
  <c r="L33" i="2" s="1"/>
  <c r="I37" i="2"/>
  <c r="K37" i="2" s="1"/>
  <c r="L37" i="2" s="1"/>
  <c r="I42" i="2"/>
  <c r="K42" i="2" s="1"/>
  <c r="L42" i="2" s="1"/>
  <c r="I44" i="2"/>
  <c r="K44" i="2" s="1"/>
  <c r="L44" i="2" s="1"/>
  <c r="I30" i="2"/>
  <c r="K30" i="2" s="1"/>
  <c r="L30" i="2" s="1"/>
  <c r="I34" i="2"/>
  <c r="K34" i="2" s="1"/>
  <c r="L34" i="2" s="1"/>
  <c r="I28" i="2"/>
  <c r="I24" i="2"/>
  <c r="I18" i="2"/>
  <c r="I10" i="2"/>
  <c r="I14" i="2"/>
  <c r="I15" i="2"/>
  <c r="I23" i="2"/>
  <c r="I26" i="2"/>
  <c r="I9" i="2"/>
  <c r="I17" i="2"/>
  <c r="I25" i="2"/>
  <c r="I22" i="2"/>
  <c r="I12" i="2"/>
  <c r="I13" i="2"/>
  <c r="I21" i="2"/>
  <c r="I20" i="2"/>
  <c r="I19" i="2"/>
  <c r="I27" i="2"/>
  <c r="I11" i="2"/>
  <c r="I16" i="2"/>
  <c r="I8" i="2"/>
  <c r="J8" i="2" s="1"/>
  <c r="K8" i="2" s="1"/>
  <c r="L8" i="2" s="1"/>
  <c r="F9" i="2"/>
  <c r="I65" i="2" l="1"/>
  <c r="K65" i="2" s="1"/>
  <c r="L65" i="2" s="1"/>
  <c r="F56" i="2"/>
  <c r="I55" i="2"/>
  <c r="K55" i="2" s="1"/>
  <c r="L55" i="2" s="1"/>
  <c r="K28" i="2"/>
  <c r="L28" i="2" s="1"/>
  <c r="J9" i="2"/>
  <c r="K9" i="2" s="1"/>
  <c r="L9" i="2" s="1"/>
  <c r="F10" i="2"/>
  <c r="J10" i="2" s="1"/>
  <c r="I56" i="2" l="1"/>
  <c r="K56" i="2" s="1"/>
  <c r="L56" i="2" s="1"/>
  <c r="F57" i="2"/>
  <c r="I57" i="2" s="1"/>
  <c r="K57" i="2" s="1"/>
  <c r="L57" i="2" s="1"/>
  <c r="F11" i="2"/>
  <c r="J11" i="2" s="1"/>
  <c r="K10" i="2"/>
  <c r="L10" i="2" s="1"/>
  <c r="F12" i="2" l="1"/>
  <c r="J12" i="2" s="1"/>
  <c r="K11" i="2"/>
  <c r="L11" i="2" s="1"/>
  <c r="F13" i="2" l="1"/>
  <c r="J13" i="2" s="1"/>
  <c r="K12" i="2"/>
  <c r="L12" i="2" s="1"/>
  <c r="F14" i="2" l="1"/>
  <c r="J14" i="2" s="1"/>
  <c r="K13" i="2"/>
  <c r="L13" i="2" s="1"/>
  <c r="F15" i="2" l="1"/>
  <c r="J15" i="2" s="1"/>
  <c r="K14" i="2"/>
  <c r="L14" i="2" s="1"/>
  <c r="F16" i="2" l="1"/>
  <c r="J16" i="2" s="1"/>
  <c r="K15" i="2"/>
  <c r="L15" i="2" s="1"/>
  <c r="F17" i="2" l="1"/>
  <c r="J17" i="2" s="1"/>
  <c r="K16" i="2"/>
  <c r="L16" i="2" s="1"/>
  <c r="F18" i="2" l="1"/>
  <c r="J18" i="2" s="1"/>
  <c r="K17" i="2"/>
  <c r="L17" i="2" s="1"/>
  <c r="F19" i="2" l="1"/>
  <c r="J19" i="2" s="1"/>
  <c r="K18" i="2"/>
  <c r="L18" i="2" s="1"/>
  <c r="F20" i="2" l="1"/>
  <c r="J20" i="2" s="1"/>
  <c r="K19" i="2"/>
  <c r="L19" i="2" s="1"/>
  <c r="F21" i="2" l="1"/>
  <c r="J21" i="2" s="1"/>
  <c r="K20" i="2"/>
  <c r="L20" i="2" s="1"/>
  <c r="F22" i="2" l="1"/>
  <c r="J22" i="2" s="1"/>
  <c r="K21" i="2"/>
  <c r="L21" i="2" s="1"/>
  <c r="F23" i="2" l="1"/>
  <c r="J23" i="2" s="1"/>
  <c r="K22" i="2"/>
  <c r="L22" i="2" s="1"/>
  <c r="F24" i="2" l="1"/>
  <c r="J24" i="2" s="1"/>
  <c r="K23" i="2"/>
  <c r="L23" i="2" s="1"/>
  <c r="F25" i="2" l="1"/>
  <c r="J25" i="2" s="1"/>
  <c r="K24" i="2"/>
  <c r="L24" i="2" s="1"/>
  <c r="F26" i="2" l="1"/>
  <c r="J26" i="2" s="1"/>
  <c r="K25" i="2"/>
  <c r="L25" i="2" s="1"/>
  <c r="F27" i="2" l="1"/>
  <c r="K26" i="2"/>
  <c r="L26" i="2" s="1"/>
  <c r="J27" i="2" l="1"/>
  <c r="K27" i="2" s="1"/>
  <c r="L27" i="2" s="1"/>
  <c r="F45" i="2" l="1"/>
  <c r="I45" i="2" s="1"/>
  <c r="K45" i="2" s="1"/>
  <c r="L45" i="2" s="1"/>
  <c r="F46" i="2" l="1"/>
  <c r="I46" i="2" s="1"/>
  <c r="K46" i="2" s="1"/>
  <c r="L46" i="2" s="1"/>
  <c r="F47" i="2" l="1"/>
  <c r="I47" i="2" s="1"/>
  <c r="K47" i="2" s="1"/>
  <c r="L47" i="2" s="1"/>
</calcChain>
</file>

<file path=xl/sharedStrings.xml><?xml version="1.0" encoding="utf-8"?>
<sst xmlns="http://schemas.openxmlformats.org/spreadsheetml/2006/main" count="279" uniqueCount="70">
  <si>
    <t>RTM</t>
  </si>
  <si>
    <t>RTM1C45</t>
  </si>
  <si>
    <t>RTM1P45</t>
  </si>
  <si>
    <t>RTM1C46</t>
  </si>
  <si>
    <t>RTM1P46</t>
  </si>
  <si>
    <t>RTM1C47</t>
  </si>
  <si>
    <t>RTM1P47</t>
  </si>
  <si>
    <t>RTM1C48</t>
  </si>
  <si>
    <t>RTM1P48</t>
  </si>
  <si>
    <t>RTM1C49</t>
  </si>
  <si>
    <t>RTM1P49</t>
  </si>
  <si>
    <t>RTM1C50</t>
  </si>
  <si>
    <t>RTM1P50</t>
  </si>
  <si>
    <t>RTM1C51</t>
  </si>
  <si>
    <t>RTM1P51</t>
  </si>
  <si>
    <t>RTM1C52</t>
  </si>
  <si>
    <t>RTM1P52</t>
  </si>
  <si>
    <t>RTM1C53</t>
  </si>
  <si>
    <t>RTM1P53</t>
  </si>
  <si>
    <t>RTM1C54</t>
  </si>
  <si>
    <t>RTM1P54</t>
  </si>
  <si>
    <t>RTM2C45</t>
  </si>
  <si>
    <t>RTM2P45</t>
  </si>
  <si>
    <t>RTM2C46</t>
  </si>
  <si>
    <t>RTM2P46</t>
  </si>
  <si>
    <t>RTM2C47</t>
  </si>
  <si>
    <t>RTM2P47</t>
  </si>
  <si>
    <t>RTM2C48</t>
  </si>
  <si>
    <t>RTM2P48</t>
  </si>
  <si>
    <t>RTM2C49</t>
  </si>
  <si>
    <t>RTM2P49</t>
  </si>
  <si>
    <t>RTM2C50</t>
  </si>
  <si>
    <t>RTM2P50</t>
  </si>
  <si>
    <t>RTM2C51</t>
  </si>
  <si>
    <t>RTM2P51</t>
  </si>
  <si>
    <t>RTM2C52</t>
  </si>
  <si>
    <t>RTM2P52</t>
  </si>
  <si>
    <t>RTM2C53</t>
  </si>
  <si>
    <t>RTM2P53</t>
  </si>
  <si>
    <t>RTM2C54</t>
  </si>
  <si>
    <t>RTM2P54</t>
  </si>
  <si>
    <t>Ticker</t>
  </si>
  <si>
    <t>Position</t>
  </si>
  <si>
    <t>Cost</t>
  </si>
  <si>
    <t>Last</t>
  </si>
  <si>
    <t>Bid</t>
  </si>
  <si>
    <t>Ask</t>
  </si>
  <si>
    <t>P/C</t>
  </si>
  <si>
    <t>Strike</t>
  </si>
  <si>
    <t>X</t>
  </si>
  <si>
    <t>Expiry</t>
  </si>
  <si>
    <t>Stock</t>
  </si>
  <si>
    <t>Call</t>
  </si>
  <si>
    <t>Put</t>
  </si>
  <si>
    <t>Signal</t>
  </si>
  <si>
    <t>Trader-ID</t>
  </si>
  <si>
    <t>PL</t>
  </si>
  <si>
    <t>Current Time</t>
  </si>
  <si>
    <t>Time Remaining</t>
  </si>
  <si>
    <t>Current Period</t>
  </si>
  <si>
    <t>Difference</t>
  </si>
  <si>
    <t>CDR</t>
  </si>
  <si>
    <t>Size1</t>
  </si>
  <si>
    <t>Size2</t>
  </si>
  <si>
    <t>Size3</t>
  </si>
  <si>
    <t>Option Spread</t>
  </si>
  <si>
    <t>Leg1</t>
  </si>
  <si>
    <t>Leg2</t>
  </si>
  <si>
    <t>Leg3</t>
  </si>
  <si>
    <t>Fair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</si>
</sst>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4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1" applyNumberFormat="1" applyFont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165" fontId="0" fillId="3" borderId="0" xfId="0" applyNumberFormat="1" applyFill="1"/>
    <xf numFmtId="0" fontId="0" fillId="4" borderId="0" xfId="0" applyFill="1"/>
    <xf numFmtId="165" fontId="0" fillId="4" borderId="0" xfId="0" applyNumberFormat="1" applyFill="1"/>
    <xf numFmtId="0" fontId="3" fillId="4" borderId="0" xfId="0" applyFont="1" applyFill="1"/>
    <xf numFmtId="0" fontId="3" fillId="3" borderId="0" xfId="0" applyFont="1" applyFill="1"/>
    <xf numFmtId="0" fontId="0" fillId="5" borderId="0" xfId="0" applyFill="1"/>
    <xf numFmtId="165" fontId="0" fillId="5" borderId="0" xfId="0" applyNumberFormat="1" applyFill="1"/>
    <xf numFmtId="0" fontId="3" fillId="5" borderId="0" xfId="0" applyFont="1" applyFill="1"/>
    <xf numFmtId="0" fontId="0" fillId="6" borderId="0" xfId="0" applyFill="1"/>
    <xf numFmtId="165" fontId="0" fillId="6" borderId="0" xfId="0" applyNumberFormat="1" applyFill="1"/>
    <xf numFmtId="0" fontId="3" fillId="6" borderId="0" xfId="0" applyFont="1" applyFill="1"/>
    <xf numFmtId="0" fontId="0" fillId="7" borderId="0" xfId="0" applyFill="1"/>
    <xf numFmtId="165" fontId="0" fillId="7" borderId="0" xfId="0" applyNumberFormat="1" applyFill="1"/>
    <xf numFmtId="0" fontId="3" fillId="7" borderId="0" xfId="0" applyFont="1" applyFill="1"/>
  </cellXfs>
  <cellStyles count="2">
    <cellStyle name="Currency" xfId="1" builtinId="4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s">
        <v>RTM|POSITION</v>
        <stp/>
        <stp>RTM</stp>
        <stp>Position</stp>
        <tr r="E3" s="1"/>
      </tp>
      <tp t="s">
        <v>RTM|BID</v>
        <stp/>
        <stp>RTM</stp>
        <stp>Bid</stp>
        <tr r="H3" s="1"/>
      </tp>
      <tp t="s">
        <v>RTM|ASK</v>
        <stp/>
        <stp>RTM</stp>
        <stp>Ask</stp>
        <tr r="I3" s="1"/>
      </tp>
      <tp t="s">
        <v>TIMEREMAINING</v>
        <stp/>
        <stp>TIMEREMAINING</stp>
        <tr r="B4" s="2"/>
      </tp>
      <tp t="s">
        <v>PL</v>
        <stp/>
        <stp>PL</stp>
        <tr r="B2" s="2"/>
      </tp>
      <tp t="s">
        <v>RTM2P49|POSITION</v>
        <stp/>
        <stp>RTM2P49</stp>
        <stp>Position</stp>
        <tr r="E33" s="1"/>
      </tp>
      <tp t="s">
        <v>RTM2C49|POSITION</v>
        <stp/>
        <stp>RTM2C49</stp>
        <stp>Position</stp>
        <tr r="E32" s="1"/>
      </tp>
      <tp t="s">
        <v>RTM1P49|POSITION</v>
        <stp/>
        <stp>RTM1P49</stp>
        <stp>Position</stp>
        <tr r="E13" s="1"/>
      </tp>
      <tp t="s">
        <v>RTM1C49|POSITION</v>
        <stp/>
        <stp>RTM1C49</stp>
        <stp>Position</stp>
        <tr r="E12" s="1"/>
      </tp>
      <tp t="s">
        <v>RTM2P48|POSITION</v>
        <stp/>
        <stp>RTM2P48</stp>
        <stp>Position</stp>
        <tr r="E31" s="1"/>
      </tp>
      <tp t="s">
        <v>RTM2C48|POSITION</v>
        <stp/>
        <stp>RTM2C48</stp>
        <stp>Position</stp>
        <tr r="E30" s="1"/>
      </tp>
      <tp t="s">
        <v>RTM1P48|POSITION</v>
        <stp/>
        <stp>RTM1P48</stp>
        <stp>Position</stp>
        <tr r="E11" s="1"/>
      </tp>
      <tp t="s">
        <v>RTM1C48|POSITION</v>
        <stp/>
        <stp>RTM1C48</stp>
        <stp>Position</stp>
        <tr r="E10" s="1"/>
      </tp>
      <tp t="s">
        <v>RTM2P45|POSITION</v>
        <stp/>
        <stp>RTM2P45</stp>
        <stp>Position</stp>
        <tr r="E25" s="1"/>
      </tp>
      <tp t="s">
        <v>RTM2C45|POSITION</v>
        <stp/>
        <stp>RTM2C45</stp>
        <stp>Position</stp>
        <tr r="E24" s="1"/>
      </tp>
      <tp t="s">
        <v>RTM1P45|POSITION</v>
        <stp/>
        <stp>RTM1P45</stp>
        <stp>Position</stp>
        <tr r="E5" s="1"/>
      </tp>
      <tp t="s">
        <v>RTM1C45|POSITION</v>
        <stp/>
        <stp>RTM1C45</stp>
        <stp>Position</stp>
        <tr r="E4" s="1"/>
      </tp>
      <tp t="s">
        <v>RTM2P47|POSITION</v>
        <stp/>
        <stp>RTM2P47</stp>
        <stp>Position</stp>
        <tr r="E29" s="1"/>
      </tp>
      <tp t="s">
        <v>RTM2C47|POSITION</v>
        <stp/>
        <stp>RTM2C47</stp>
        <stp>Position</stp>
        <tr r="E28" s="1"/>
      </tp>
      <tp t="s">
        <v>RTM1P47|POSITION</v>
        <stp/>
        <stp>RTM1P47</stp>
        <stp>Position</stp>
        <tr r="E9" s="1"/>
      </tp>
      <tp t="s">
        <v>RTM1C47|POSITION</v>
        <stp/>
        <stp>RTM1C47</stp>
        <stp>Position</stp>
        <tr r="E8" s="1"/>
      </tp>
      <tp t="s">
        <v>RTM2P46|POSITION</v>
        <stp/>
        <stp>RTM2P46</stp>
        <stp>Position</stp>
        <tr r="E27" s="1"/>
      </tp>
      <tp t="s">
        <v>RTM2C46|POSITION</v>
        <stp/>
        <stp>RTM2C46</stp>
        <stp>Position</stp>
        <tr r="E26" s="1"/>
      </tp>
      <tp t="s">
        <v>RTM1P46|POSITION</v>
        <stp/>
        <stp>RTM1P46</stp>
        <stp>Position</stp>
        <tr r="E7" s="1"/>
      </tp>
      <tp t="s">
        <v>RTM1C46|POSITION</v>
        <stp/>
        <stp>RTM1C46</stp>
        <stp>Position</stp>
        <tr r="E6" s="1"/>
      </tp>
      <tp t="s">
        <v>RTM2P54|POSITION</v>
        <stp/>
        <stp>RTM2P54</stp>
        <stp>Position</stp>
        <tr r="E43" s="1"/>
      </tp>
      <tp t="s">
        <v>RTM2C54|POSITION</v>
        <stp/>
        <stp>RTM2C54</stp>
        <stp>Position</stp>
        <tr r="E42" s="1"/>
      </tp>
      <tp t="s">
        <v>RTM1P54|POSITION</v>
        <stp/>
        <stp>RTM1P54</stp>
        <stp>Position</stp>
        <tr r="E23" s="1"/>
      </tp>
      <tp t="s">
        <v>RTM1C54|POSITION</v>
        <stp/>
        <stp>RTM1C54</stp>
        <stp>Position</stp>
        <tr r="E22" s="1"/>
      </tp>
      <tp t="s">
        <v>RTM2P51|POSITION</v>
        <stp/>
        <stp>RTM2P51</stp>
        <stp>Position</stp>
        <tr r="E37" s="1"/>
      </tp>
      <tp t="s">
        <v>RTM2C51|POSITION</v>
        <stp/>
        <stp>RTM2C51</stp>
        <stp>Position</stp>
        <tr r="E36" s="1"/>
      </tp>
      <tp t="s">
        <v>RTM1P51|POSITION</v>
        <stp/>
        <stp>RTM1P51</stp>
        <stp>Position</stp>
        <tr r="E17" s="1"/>
      </tp>
      <tp t="s">
        <v>RTM1C51|POSITION</v>
        <stp/>
        <stp>RTM1C51</stp>
        <stp>Position</stp>
        <tr r="E16" s="1"/>
      </tp>
      <tp t="s">
        <v>RTM2P50|POSITION</v>
        <stp/>
        <stp>RTM2P50</stp>
        <stp>Position</stp>
        <tr r="E35" s="1"/>
      </tp>
      <tp t="s">
        <v>RTM2C50|POSITION</v>
        <stp/>
        <stp>RTM2C50</stp>
        <stp>Position</stp>
        <tr r="E34" s="1"/>
      </tp>
      <tp t="s">
        <v>RTM1P50|POSITION</v>
        <stp/>
        <stp>RTM1P50</stp>
        <stp>Position</stp>
        <tr r="E15" s="1"/>
      </tp>
      <tp t="s">
        <v>RTM1C50|POSITION</v>
        <stp/>
        <stp>RTM1C50</stp>
        <stp>Position</stp>
        <tr r="E14" s="1"/>
      </tp>
      <tp t="s">
        <v>RTM2P53|POSITION</v>
        <stp/>
        <stp>RTM2P53</stp>
        <stp>Position</stp>
        <tr r="E41" s="1"/>
      </tp>
      <tp t="s">
        <v>RTM2C53|POSITION</v>
        <stp/>
        <stp>RTM2C53</stp>
        <stp>Position</stp>
        <tr r="E40" s="1"/>
      </tp>
      <tp t="s">
        <v>RTM1P53|POSITION</v>
        <stp/>
        <stp>RTM1P53</stp>
        <stp>Position</stp>
        <tr r="E21" s="1"/>
      </tp>
      <tp t="s">
        <v>RTM1C53|POSITION</v>
        <stp/>
        <stp>RTM1C53</stp>
        <stp>Position</stp>
        <tr r="E20" s="1"/>
      </tp>
      <tp t="s">
        <v>RTM2P52|POSITION</v>
        <stp/>
        <stp>RTM2P52</stp>
        <stp>Position</stp>
        <tr r="E39" s="1"/>
      </tp>
      <tp t="s">
        <v>RTM2C52|POSITION</v>
        <stp/>
        <stp>RTM2C52</stp>
        <stp>Position</stp>
        <tr r="E38" s="1"/>
      </tp>
      <tp t="s">
        <v>RTM1P52|POSITION</v>
        <stp/>
        <stp>RTM1P52</stp>
        <stp>Position</stp>
        <tr r="E19" s="1"/>
      </tp>
      <tp t="s">
        <v>RTM1C52|POSITION</v>
        <stp/>
        <stp>RTM1C52</stp>
        <stp>Position</stp>
        <tr r="E18" s="1"/>
      </tp>
      <tp t="s">
        <v>RTM2P54|BID</v>
        <stp/>
        <stp>RTM2P54</stp>
        <stp>Bid</stp>
        <tr r="H43" s="1"/>
      </tp>
      <tp t="s">
        <v>RTM1P54|BID</v>
        <stp/>
        <stp>RTM1P54</stp>
        <stp>Bid</stp>
        <tr r="H23" s="1"/>
      </tp>
      <tp t="s">
        <v>RTM2P51|BID</v>
        <stp/>
        <stp>RTM2P51</stp>
        <stp>Bid</stp>
        <tr r="H37" s="1"/>
      </tp>
      <tp t="s">
        <v>RTM1P51|BID</v>
        <stp/>
        <stp>RTM1P51</stp>
        <stp>Bid</stp>
        <tr r="H17" s="1"/>
      </tp>
      <tp t="s">
        <v>RTM2P50|BID</v>
        <stp/>
        <stp>RTM2P50</stp>
        <stp>Bid</stp>
        <tr r="H35" s="1"/>
      </tp>
      <tp t="s">
        <v>RTM1P50|BID</v>
        <stp/>
        <stp>RTM1P50</stp>
        <stp>Bid</stp>
        <tr r="H15" s="1"/>
      </tp>
      <tp t="s">
        <v>RTM2P53|BID</v>
        <stp/>
        <stp>RTM2P53</stp>
        <stp>Bid</stp>
        <tr r="H41" s="1"/>
      </tp>
      <tp t="s">
        <v>RTM1P53|BID</v>
        <stp/>
        <stp>RTM1P53</stp>
        <stp>Bid</stp>
        <tr r="H21" s="1"/>
      </tp>
      <tp t="s">
        <v>RTM2P52|BID</v>
        <stp/>
        <stp>RTM2P52</stp>
        <stp>Bid</stp>
        <tr r="H39" s="1"/>
      </tp>
      <tp t="s">
        <v>RTM1P52|BID</v>
        <stp/>
        <stp>RTM1P52</stp>
        <stp>Bid</stp>
        <tr r="H19" s="1"/>
      </tp>
      <tp t="s">
        <v>RTM2P45|BID</v>
        <stp/>
        <stp>RTM2P45</stp>
        <stp>Bid</stp>
        <tr r="H25" s="1"/>
      </tp>
      <tp t="s">
        <v>RTM1P45|BID</v>
        <stp/>
        <stp>RTM1P45</stp>
        <stp>Bid</stp>
        <tr r="H5" s="1"/>
      </tp>
      <tp t="s">
        <v>RTM2P47|BID</v>
        <stp/>
        <stp>RTM2P47</stp>
        <stp>Bid</stp>
        <tr r="H29" s="1"/>
      </tp>
      <tp t="s">
        <v>RTM1P47|BID</v>
        <stp/>
        <stp>RTM1P47</stp>
        <stp>Bid</stp>
        <tr r="H9" s="1"/>
      </tp>
      <tp t="s">
        <v>RTM2P46|BID</v>
        <stp/>
        <stp>RTM2P46</stp>
        <stp>Bid</stp>
        <tr r="H27" s="1"/>
      </tp>
      <tp t="s">
        <v>RTM1P46|BID</v>
        <stp/>
        <stp>RTM1P46</stp>
        <stp>Bid</stp>
        <tr r="H7" s="1"/>
      </tp>
      <tp t="s">
        <v>RTM2P49|BID</v>
        <stp/>
        <stp>RTM2P49</stp>
        <stp>Bid</stp>
        <tr r="H33" s="1"/>
      </tp>
      <tp t="s">
        <v>RTM1P49|BID</v>
        <stp/>
        <stp>RTM1P49</stp>
        <stp>Bid</stp>
        <tr r="H13" s="1"/>
      </tp>
      <tp t="s">
        <v>RTM2P48|BID</v>
        <stp/>
        <stp>RTM2P48</stp>
        <stp>Bid</stp>
        <tr r="H31" s="1"/>
      </tp>
      <tp t="s">
        <v>RTM1P48|BID</v>
        <stp/>
        <stp>RTM1P48</stp>
        <stp>Bid</stp>
        <tr r="H11" s="1"/>
      </tp>
      <tp t="s">
        <v>RTM2P52|ASK</v>
        <stp/>
        <stp>RTM2P52</stp>
        <stp>Ask</stp>
        <tr r="I39" s="1"/>
      </tp>
      <tp t="s">
        <v>RTM1P52|ASK</v>
        <stp/>
        <stp>RTM1P52</stp>
        <stp>Ask</stp>
        <tr r="I19" s="1"/>
      </tp>
      <tp t="s">
        <v>RTM2P53|ASK</v>
        <stp/>
        <stp>RTM2P53</stp>
        <stp>Ask</stp>
        <tr r="I41" s="1"/>
      </tp>
      <tp t="s">
        <v>RTM1P53|ASK</v>
        <stp/>
        <stp>RTM1P53</stp>
        <stp>Ask</stp>
        <tr r="I21" s="1"/>
      </tp>
      <tp t="s">
        <v>RTM2P50|ASK</v>
        <stp/>
        <stp>RTM2P50</stp>
        <stp>Ask</stp>
        <tr r="I35" s="1"/>
      </tp>
      <tp t="s">
        <v>RTM1P50|ASK</v>
        <stp/>
        <stp>RTM1P50</stp>
        <stp>Ask</stp>
        <tr r="I15" s="1"/>
      </tp>
      <tp t="s">
        <v>RTM2P51|ASK</v>
        <stp/>
        <stp>RTM2P51</stp>
        <stp>Ask</stp>
        <tr r="I37" s="1"/>
      </tp>
      <tp t="s">
        <v>RTM1P51|ASK</v>
        <stp/>
        <stp>RTM1P51</stp>
        <stp>Ask</stp>
        <tr r="I17" s="1"/>
      </tp>
      <tp t="s">
        <v>RTM2P54|ASK</v>
        <stp/>
        <stp>RTM2P54</stp>
        <stp>Ask</stp>
        <tr r="I43" s="1"/>
      </tp>
      <tp t="s">
        <v>RTM1P54|ASK</v>
        <stp/>
        <stp>RTM1P54</stp>
        <stp>Ask</stp>
        <tr r="I23" s="1"/>
      </tp>
      <tp t="s">
        <v>RTM2P48|ASK</v>
        <stp/>
        <stp>RTM2P48</stp>
        <stp>Ask</stp>
        <tr r="I31" s="1"/>
      </tp>
      <tp t="s">
        <v>RTM1P48|ASK</v>
        <stp/>
        <stp>RTM1P48</stp>
        <stp>Ask</stp>
        <tr r="I11" s="1"/>
      </tp>
      <tp t="s">
        <v>RTM2P49|ASK</v>
        <stp/>
        <stp>RTM2P49</stp>
        <stp>Ask</stp>
        <tr r="I33" s="1"/>
      </tp>
      <tp t="s">
        <v>RTM1P49|ASK</v>
        <stp/>
        <stp>RTM1P49</stp>
        <stp>Ask</stp>
        <tr r="I13" s="1"/>
      </tp>
      <tp t="s">
        <v>RTM2P46|ASK</v>
        <stp/>
        <stp>RTM2P46</stp>
        <stp>Ask</stp>
        <tr r="I27" s="1"/>
      </tp>
      <tp t="s">
        <v>RTM1P46|ASK</v>
        <stp/>
        <stp>RTM1P46</stp>
        <stp>Ask</stp>
        <tr r="I7" s="1"/>
      </tp>
      <tp t="s">
        <v>RTM2P47|ASK</v>
        <stp/>
        <stp>RTM2P47</stp>
        <stp>Ask</stp>
        <tr r="I29" s="1"/>
      </tp>
      <tp t="s">
        <v>RTM1P47|ASK</v>
        <stp/>
        <stp>RTM1P47</stp>
        <stp>Ask</stp>
        <tr r="I9" s="1"/>
      </tp>
      <tp t="s">
        <v>RTM2P45|ASK</v>
        <stp/>
        <stp>RTM2P45</stp>
        <stp>Ask</stp>
        <tr r="I25" s="1"/>
      </tp>
      <tp t="s">
        <v>RTM1P45|ASK</v>
        <stp/>
        <stp>RTM1P45</stp>
        <stp>Ask</stp>
        <tr r="I5" s="1"/>
      </tp>
      <tp t="s">
        <v>RTM2C52|ASK</v>
        <stp/>
        <stp>RTM2C52</stp>
        <stp>Ask</stp>
        <tr r="I38" s="1"/>
      </tp>
      <tp t="s">
        <v>RTM1C52|ASK</v>
        <stp/>
        <stp>RTM1C52</stp>
        <stp>Ask</stp>
        <tr r="I18" s="1"/>
      </tp>
      <tp t="s">
        <v>RTM2C53|ASK</v>
        <stp/>
        <stp>RTM2C53</stp>
        <stp>Ask</stp>
        <tr r="I40" s="1"/>
      </tp>
      <tp t="s">
        <v>RTM1C53|ASK</v>
        <stp/>
        <stp>RTM1C53</stp>
        <stp>Ask</stp>
        <tr r="I20" s="1"/>
      </tp>
      <tp t="s">
        <v>RTM2C50|ASK</v>
        <stp/>
        <stp>RTM2C50</stp>
        <stp>Ask</stp>
        <tr r="I34" s="1"/>
      </tp>
      <tp t="s">
        <v>RTM1C50|ASK</v>
        <stp/>
        <stp>RTM1C50</stp>
        <stp>Ask</stp>
        <tr r="I14" s="1"/>
      </tp>
      <tp t="s">
        <v>RTM2C51|ASK</v>
        <stp/>
        <stp>RTM2C51</stp>
        <stp>Ask</stp>
        <tr r="I36" s="1"/>
      </tp>
      <tp t="s">
        <v>RTM1C51|ASK</v>
        <stp/>
        <stp>RTM1C51</stp>
        <stp>Ask</stp>
        <tr r="I16" s="1"/>
      </tp>
      <tp t="s">
        <v>RTM2C54|ASK</v>
        <stp/>
        <stp>RTM2C54</stp>
        <stp>Ask</stp>
        <tr r="I42" s="1"/>
      </tp>
      <tp t="s">
        <v>RTM1C54|ASK</v>
        <stp/>
        <stp>RTM1C54</stp>
        <stp>Ask</stp>
        <tr r="I22" s="1"/>
      </tp>
      <tp t="s">
        <v>RTM2C48|ASK</v>
        <stp/>
        <stp>RTM2C48</stp>
        <stp>Ask</stp>
        <tr r="I30" s="1"/>
      </tp>
      <tp t="s">
        <v>RTM1C48|ASK</v>
        <stp/>
        <stp>RTM1C48</stp>
        <stp>Ask</stp>
        <tr r="I10" s="1"/>
      </tp>
      <tp t="s">
        <v>RTM2C49|ASK</v>
        <stp/>
        <stp>RTM2C49</stp>
        <stp>Ask</stp>
        <tr r="I32" s="1"/>
      </tp>
      <tp t="s">
        <v>RTM1C49|ASK</v>
        <stp/>
        <stp>RTM1C49</stp>
        <stp>Ask</stp>
        <tr r="I12" s="1"/>
      </tp>
      <tp t="s">
        <v>RTM2C46|ASK</v>
        <stp/>
        <stp>RTM2C46</stp>
        <stp>Ask</stp>
        <tr r="I26" s="1"/>
      </tp>
      <tp t="s">
        <v>RTM1C46|ASK</v>
        <stp/>
        <stp>RTM1C46</stp>
        <stp>Ask</stp>
        <tr r="I6" s="1"/>
      </tp>
      <tp t="s">
        <v>RTM2C47|ASK</v>
        <stp/>
        <stp>RTM2C47</stp>
        <stp>Ask</stp>
        <tr r="I28" s="1"/>
      </tp>
      <tp t="s">
        <v>RTM1C47|ASK</v>
        <stp/>
        <stp>RTM1C47</stp>
        <stp>Ask</stp>
        <tr r="I8" s="1"/>
      </tp>
      <tp t="s">
        <v>RTM2C45|ASK</v>
        <stp/>
        <stp>RTM2C45</stp>
        <stp>Ask</stp>
        <tr r="I24" s="1"/>
      </tp>
      <tp t="s">
        <v>RTM1C45|ASK</v>
        <stp/>
        <stp>RTM1C45</stp>
        <stp>Ask</stp>
        <tr r="I4" s="1"/>
      </tp>
      <tp t="s">
        <v>RTM1P52|COST</v>
        <stp/>
        <stp>RTM1P52</stp>
        <stp>Cost</stp>
        <tr r="F19" s="1"/>
      </tp>
      <tp t="s">
        <v>RTM1C52|COST</v>
        <stp/>
        <stp>RTM1C52</stp>
        <stp>Cost</stp>
        <tr r="F18" s="1"/>
      </tp>
      <tp t="s">
        <v>RTM2P52|COST</v>
        <stp/>
        <stp>RTM2P52</stp>
        <stp>Cost</stp>
        <tr r="F39" s="1"/>
      </tp>
      <tp t="s">
        <v>RTM2C52|COST</v>
        <stp/>
        <stp>RTM2C52</stp>
        <stp>Cost</stp>
        <tr r="F38" s="1"/>
      </tp>
      <tp t="s">
        <v>RTM1P53|COST</v>
        <stp/>
        <stp>RTM1P53</stp>
        <stp>Cost</stp>
        <tr r="F21" s="1"/>
      </tp>
      <tp t="s">
        <v>RTM1C53|COST</v>
        <stp/>
        <stp>RTM1C53</stp>
        <stp>Cost</stp>
        <tr r="F20" s="1"/>
      </tp>
      <tp t="s">
        <v>RTM2P53|COST</v>
        <stp/>
        <stp>RTM2P53</stp>
        <stp>Cost</stp>
        <tr r="F41" s="1"/>
      </tp>
      <tp t="s">
        <v>RTM2C53|COST</v>
        <stp/>
        <stp>RTM2C53</stp>
        <stp>Cost</stp>
        <tr r="F40" s="1"/>
      </tp>
      <tp t="s">
        <v>RTM1P50|COST</v>
        <stp/>
        <stp>RTM1P50</stp>
        <stp>Cost</stp>
        <tr r="F15" s="1"/>
      </tp>
      <tp t="s">
        <v>RTM1C50|COST</v>
        <stp/>
        <stp>RTM1C50</stp>
        <stp>Cost</stp>
        <tr r="F14" s="1"/>
      </tp>
      <tp t="s">
        <v>RTM2P50|COST</v>
        <stp/>
        <stp>RTM2P50</stp>
        <stp>Cost</stp>
        <tr r="F35" s="1"/>
      </tp>
      <tp t="s">
        <v>RTM2C50|COST</v>
        <stp/>
        <stp>RTM2C50</stp>
        <stp>Cost</stp>
        <tr r="F34" s="1"/>
      </tp>
      <tp t="s">
        <v>RTM1P51|COST</v>
        <stp/>
        <stp>RTM1P51</stp>
        <stp>Cost</stp>
        <tr r="F17" s="1"/>
      </tp>
      <tp t="s">
        <v>RTM1C51|COST</v>
        <stp/>
        <stp>RTM1C51</stp>
        <stp>Cost</stp>
        <tr r="F16" s="1"/>
      </tp>
      <tp t="s">
        <v>RTM2P51|COST</v>
        <stp/>
        <stp>RTM2P51</stp>
        <stp>Cost</stp>
        <tr r="F37" s="1"/>
      </tp>
      <tp t="s">
        <v>RTM2C51|COST</v>
        <stp/>
        <stp>RTM2C51</stp>
        <stp>Cost</stp>
        <tr r="F36" s="1"/>
      </tp>
      <tp t="s">
        <v>RTM1P54|COST</v>
        <stp/>
        <stp>RTM1P54</stp>
        <stp>Cost</stp>
        <tr r="F23" s="1"/>
      </tp>
      <tp t="s">
        <v>RTM1C54|COST</v>
        <stp/>
        <stp>RTM1C54</stp>
        <stp>Cost</stp>
        <tr r="F22" s="1"/>
      </tp>
      <tp t="s">
        <v>RTM2P54|COST</v>
        <stp/>
        <stp>RTM2P54</stp>
        <stp>Cost</stp>
        <tr r="F43" s="1"/>
      </tp>
      <tp t="s">
        <v>RTM2C54|COST</v>
        <stp/>
        <stp>RTM2C54</stp>
        <stp>Cost</stp>
        <tr r="F42" s="1"/>
      </tp>
      <tp t="s">
        <v>RTM1P46|COST</v>
        <stp/>
        <stp>RTM1P46</stp>
        <stp>Cost</stp>
        <tr r="F7" s="1"/>
      </tp>
      <tp t="s">
        <v>RTM1C46|COST</v>
        <stp/>
        <stp>RTM1C46</stp>
        <stp>Cost</stp>
        <tr r="F6" s="1"/>
      </tp>
      <tp t="s">
        <v>RTM2P46|COST</v>
        <stp/>
        <stp>RTM2P46</stp>
        <stp>Cost</stp>
        <tr r="F27" s="1"/>
      </tp>
      <tp t="s">
        <v>RTM2C46|COST</v>
        <stp/>
        <stp>RTM2C46</stp>
        <stp>Cost</stp>
        <tr r="F26" s="1"/>
      </tp>
      <tp t="s">
        <v>RTM1P47|COST</v>
        <stp/>
        <stp>RTM1P47</stp>
        <stp>Cost</stp>
        <tr r="F9" s="1"/>
      </tp>
      <tp t="s">
        <v>RTM1C47|COST</v>
        <stp/>
        <stp>RTM1C47</stp>
        <stp>Cost</stp>
        <tr r="F8" s="1"/>
      </tp>
      <tp t="s">
        <v>RTM2P47|COST</v>
        <stp/>
        <stp>RTM2P47</stp>
        <stp>Cost</stp>
        <tr r="F29" s="1"/>
      </tp>
      <tp t="s">
        <v>RTM2C47|COST</v>
        <stp/>
        <stp>RTM2C47</stp>
        <stp>Cost</stp>
        <tr r="F28" s="1"/>
      </tp>
      <tp t="s">
        <v>RTM1P45|COST</v>
        <stp/>
        <stp>RTM1P45</stp>
        <stp>Cost</stp>
        <tr r="F5" s="1"/>
      </tp>
      <tp t="s">
        <v>RTM1C45|COST</v>
        <stp/>
        <stp>RTM1C45</stp>
        <stp>Cost</stp>
        <tr r="F4" s="1"/>
      </tp>
      <tp t="s">
        <v>RTM2P45|COST</v>
        <stp/>
        <stp>RTM2P45</stp>
        <stp>Cost</stp>
        <tr r="F25" s="1"/>
      </tp>
      <tp t="s">
        <v>RTM2C45|COST</v>
        <stp/>
        <stp>RTM2C45</stp>
        <stp>Cost</stp>
        <tr r="F24" s="1"/>
      </tp>
      <tp t="s">
        <v>RTM1P48|COST</v>
        <stp/>
        <stp>RTM1P48</stp>
        <stp>Cost</stp>
        <tr r="F11" s="1"/>
      </tp>
      <tp t="s">
        <v>RTM1C48|COST</v>
        <stp/>
        <stp>RTM1C48</stp>
        <stp>Cost</stp>
        <tr r="F10" s="1"/>
      </tp>
      <tp t="s">
        <v>RTM2P48|COST</v>
        <stp/>
        <stp>RTM2P48</stp>
        <stp>Cost</stp>
        <tr r="F31" s="1"/>
      </tp>
      <tp t="s">
        <v>RTM2C48|COST</v>
        <stp/>
        <stp>RTM2C48</stp>
        <stp>Cost</stp>
        <tr r="F30" s="1"/>
      </tp>
      <tp t="s">
        <v>RTM1P49|COST</v>
        <stp/>
        <stp>RTM1P49</stp>
        <stp>Cost</stp>
        <tr r="F13" s="1"/>
      </tp>
      <tp t="s">
        <v>RTM1C49|COST</v>
        <stp/>
        <stp>RTM1C49</stp>
        <stp>Cost</stp>
        <tr r="F12" s="1"/>
      </tp>
      <tp t="s">
        <v>RTM2P49|COST</v>
        <stp/>
        <stp>RTM2P49</stp>
        <stp>Cost</stp>
        <tr r="F33" s="1"/>
      </tp>
      <tp t="s">
        <v>RTM2C49|COST</v>
        <stp/>
        <stp>RTM2C49</stp>
        <stp>Cost</stp>
        <tr r="F32" s="1"/>
      </tp>
      <tp t="s">
        <v>RTM2C54|BID</v>
        <stp/>
        <stp>RTM2C54</stp>
        <stp>Bid</stp>
        <tr r="H42" s="1"/>
      </tp>
      <tp t="s">
        <v>RTM1C54|BID</v>
        <stp/>
        <stp>RTM1C54</stp>
        <stp>Bid</stp>
        <tr r="H22" s="1"/>
      </tp>
      <tp t="s">
        <v>RTM2C51|BID</v>
        <stp/>
        <stp>RTM2C51</stp>
        <stp>Bid</stp>
        <tr r="H36" s="1"/>
      </tp>
      <tp t="s">
        <v>RTM1C51|BID</v>
        <stp/>
        <stp>RTM1C51</stp>
        <stp>Bid</stp>
        <tr r="H16" s="1"/>
      </tp>
      <tp t="s">
        <v>RTM2C50|BID</v>
        <stp/>
        <stp>RTM2C50</stp>
        <stp>Bid</stp>
        <tr r="H34" s="1"/>
      </tp>
      <tp t="s">
        <v>RTM1C50|BID</v>
        <stp/>
        <stp>RTM1C50</stp>
        <stp>Bid</stp>
        <tr r="H14" s="1"/>
      </tp>
      <tp t="s">
        <v>RTM2C53|BID</v>
        <stp/>
        <stp>RTM2C53</stp>
        <stp>Bid</stp>
        <tr r="H40" s="1"/>
      </tp>
      <tp t="s">
        <v>RTM1C53|BID</v>
        <stp/>
        <stp>RTM1C53</stp>
        <stp>Bid</stp>
        <tr r="H20" s="1"/>
      </tp>
      <tp t="s">
        <v>RTM2C52|BID</v>
        <stp/>
        <stp>RTM2C52</stp>
        <stp>Bid</stp>
        <tr r="H38" s="1"/>
      </tp>
      <tp t="s">
        <v>RTM1C52|BID</v>
        <stp/>
        <stp>RTM1C52</stp>
        <stp>Bid</stp>
        <tr r="H18" s="1"/>
      </tp>
      <tp t="s">
        <v>RTM2C45|BID</v>
        <stp/>
        <stp>RTM2C45</stp>
        <stp>Bid</stp>
        <tr r="H24" s="1"/>
      </tp>
      <tp t="s">
        <v>RTM1C45|BID</v>
        <stp/>
        <stp>RTM1C45</stp>
        <stp>Bid</stp>
        <tr r="H4" s="1"/>
      </tp>
      <tp t="s">
        <v>RTM2C47|BID</v>
        <stp/>
        <stp>RTM2C47</stp>
        <stp>Bid</stp>
        <tr r="H28" s="1"/>
      </tp>
      <tp t="s">
        <v>RTM1C47|BID</v>
        <stp/>
        <stp>RTM1C47</stp>
        <stp>Bid</stp>
        <tr r="H8" s="1"/>
      </tp>
      <tp t="s">
        <v>RTM2C46|BID</v>
        <stp/>
        <stp>RTM2C46</stp>
        <stp>Bid</stp>
        <tr r="H26" s="1"/>
      </tp>
      <tp t="s">
        <v>RTM1C46|BID</v>
        <stp/>
        <stp>RTM1C46</stp>
        <stp>Bid</stp>
        <tr r="H6" s="1"/>
      </tp>
      <tp t="s">
        <v>RTM2C49|BID</v>
        <stp/>
        <stp>RTM2C49</stp>
        <stp>Bid</stp>
        <tr r="H32" s="1"/>
      </tp>
      <tp t="s">
        <v>RTM1C49|BID</v>
        <stp/>
        <stp>RTM1C49</stp>
        <stp>Bid</stp>
        <tr r="H12" s="1"/>
      </tp>
      <tp t="s">
        <v>RTM2C48|BID</v>
        <stp/>
        <stp>RTM2C48</stp>
        <stp>Bid</stp>
        <tr r="H30" s="1"/>
      </tp>
      <tp t="s">
        <v>RTM1C48|BID</v>
        <stp/>
        <stp>RTM1C48</stp>
        <stp>Bid</stp>
        <tr r="H10" s="1"/>
      </tp>
      <tp t="s">
        <v>PERIOD</v>
        <stp/>
        <stp>PERIOD</stp>
        <tr r="B5" s="2"/>
      </tp>
      <tp t="s">
        <v>RTM1P52|LAST</v>
        <stp/>
        <stp>RTM1P52</stp>
        <stp>Last</stp>
        <tr r="G19" s="1"/>
      </tp>
      <tp t="s">
        <v>RTM1C52|LAST</v>
        <stp/>
        <stp>RTM1C52</stp>
        <stp>Last</stp>
        <tr r="G18" s="1"/>
      </tp>
      <tp t="s">
        <v>RTM2P52|LAST</v>
        <stp/>
        <stp>RTM2P52</stp>
        <stp>Last</stp>
        <tr r="G39" s="1"/>
      </tp>
      <tp t="s">
        <v>RTM2C52|LAST</v>
        <stp/>
        <stp>RTM2C52</stp>
        <stp>Last</stp>
        <tr r="G38" s="1"/>
      </tp>
      <tp t="s">
        <v>RTM1P53|LAST</v>
        <stp/>
        <stp>RTM1P53</stp>
        <stp>Last</stp>
        <tr r="G21" s="1"/>
      </tp>
      <tp t="s">
        <v>RTM1C53|LAST</v>
        <stp/>
        <stp>RTM1C53</stp>
        <stp>Last</stp>
        <tr r="G20" s="1"/>
      </tp>
      <tp t="s">
        <v>RTM2P53|LAST</v>
        <stp/>
        <stp>RTM2P53</stp>
        <stp>Last</stp>
        <tr r="G41" s="1"/>
      </tp>
      <tp t="s">
        <v>RTM2C53|LAST</v>
        <stp/>
        <stp>RTM2C53</stp>
        <stp>Last</stp>
        <tr r="G40" s="1"/>
      </tp>
      <tp t="s">
        <v>RTM1P50|LAST</v>
        <stp/>
        <stp>RTM1P50</stp>
        <stp>Last</stp>
        <tr r="G15" s="1"/>
      </tp>
      <tp t="s">
        <v>RTM1C50|LAST</v>
        <stp/>
        <stp>RTM1C50</stp>
        <stp>Last</stp>
        <tr r="G14" s="1"/>
      </tp>
      <tp t="s">
        <v>RTM2P50|LAST</v>
        <stp/>
        <stp>RTM2P50</stp>
        <stp>Last</stp>
        <tr r="G35" s="1"/>
      </tp>
      <tp t="s">
        <v>RTM2C50|LAST</v>
        <stp/>
        <stp>RTM2C50</stp>
        <stp>Last</stp>
        <tr r="G34" s="1"/>
      </tp>
      <tp t="s">
        <v>RTM1P51|LAST</v>
        <stp/>
        <stp>RTM1P51</stp>
        <stp>Last</stp>
        <tr r="G17" s="1"/>
      </tp>
      <tp t="s">
        <v>RTM1C51|LAST</v>
        <stp/>
        <stp>RTM1C51</stp>
        <stp>Last</stp>
        <tr r="G16" s="1"/>
      </tp>
      <tp t="s">
        <v>RTM2P51|LAST</v>
        <stp/>
        <stp>RTM2P51</stp>
        <stp>Last</stp>
        <tr r="G37" s="1"/>
      </tp>
      <tp t="s">
        <v>RTM2C51|LAST</v>
        <stp/>
        <stp>RTM2C51</stp>
        <stp>Last</stp>
        <tr r="G36" s="1"/>
      </tp>
      <tp t="s">
        <v>TRADERID</v>
        <stp/>
        <stp>TRADERID</stp>
        <tr r="B1" s="2"/>
      </tp>
      <tp t="s">
        <v>RTM1P54|LAST</v>
        <stp/>
        <stp>RTM1P54</stp>
        <stp>Last</stp>
        <tr r="G23" s="1"/>
      </tp>
      <tp t="s">
        <v>RTM1C54|LAST</v>
        <stp/>
        <stp>RTM1C54</stp>
        <stp>Last</stp>
        <tr r="G22" s="1"/>
      </tp>
      <tp t="s">
        <v>RTM2P54|LAST</v>
        <stp/>
        <stp>RTM2P54</stp>
        <stp>Last</stp>
        <tr r="G43" s="1"/>
      </tp>
      <tp t="s">
        <v>RTM2C54|LAST</v>
        <stp/>
        <stp>RTM2C54</stp>
        <stp>Last</stp>
        <tr r="G42" s="1"/>
      </tp>
      <tp t="s">
        <v>RTM1P46|LAST</v>
        <stp/>
        <stp>RTM1P46</stp>
        <stp>Last</stp>
        <tr r="G7" s="1"/>
      </tp>
      <tp t="s">
        <v>RTM1C46|LAST</v>
        <stp/>
        <stp>RTM1C46</stp>
        <stp>Last</stp>
        <tr r="G6" s="1"/>
      </tp>
      <tp t="s">
        <v>RTM2P46|LAST</v>
        <stp/>
        <stp>RTM2P46</stp>
        <stp>Last</stp>
        <tr r="G27" s="1"/>
      </tp>
      <tp t="s">
        <v>RTM2C46|LAST</v>
        <stp/>
        <stp>RTM2C46</stp>
        <stp>Last</stp>
        <tr r="G26" s="1"/>
      </tp>
      <tp t="s">
        <v>RTM1P47|LAST</v>
        <stp/>
        <stp>RTM1P47</stp>
        <stp>Last</stp>
        <tr r="G9" s="1"/>
      </tp>
      <tp t="s">
        <v>RTM1C47|LAST</v>
        <stp/>
        <stp>RTM1C47</stp>
        <stp>Last</stp>
        <tr r="G8" s="1"/>
      </tp>
      <tp t="s">
        <v>RTM2P47|LAST</v>
        <stp/>
        <stp>RTM2P47</stp>
        <stp>Last</stp>
        <tr r="G29" s="1"/>
      </tp>
      <tp t="s">
        <v>RTM2C47|LAST</v>
        <stp/>
        <stp>RTM2C47</stp>
        <stp>Last</stp>
        <tr r="G28" s="1"/>
      </tp>
      <tp t="s">
        <v>RTM1P45|LAST</v>
        <stp/>
        <stp>RTM1P45</stp>
        <stp>Last</stp>
        <tr r="G5" s="1"/>
      </tp>
      <tp t="s">
        <v>RTM1C45|LAST</v>
        <stp/>
        <stp>RTM1C45</stp>
        <stp>Last</stp>
        <tr r="G4" s="1"/>
      </tp>
      <tp t="s">
        <v>RTM2P45|LAST</v>
        <stp/>
        <stp>RTM2P45</stp>
        <stp>Last</stp>
        <tr r="G25" s="1"/>
      </tp>
      <tp t="s">
        <v>RTM2C45|LAST</v>
        <stp/>
        <stp>RTM2C45</stp>
        <stp>Last</stp>
        <tr r="G24" s="1"/>
      </tp>
      <tp t="s">
        <v>RTM1P48|LAST</v>
        <stp/>
        <stp>RTM1P48</stp>
        <stp>Last</stp>
        <tr r="G11" s="1"/>
      </tp>
      <tp t="s">
        <v>RTM1C48|LAST</v>
        <stp/>
        <stp>RTM1C48</stp>
        <stp>Last</stp>
        <tr r="G10" s="1"/>
      </tp>
      <tp t="s">
        <v>RTM2P48|LAST</v>
        <stp/>
        <stp>RTM2P48</stp>
        <stp>Last</stp>
        <tr r="G31" s="1"/>
      </tp>
      <tp t="s">
        <v>RTM2C48|LAST</v>
        <stp/>
        <stp>RTM2C48</stp>
        <stp>Last</stp>
        <tr r="G30" s="1"/>
      </tp>
      <tp t="s">
        <v>RTM1P49|LAST</v>
        <stp/>
        <stp>RTM1P49</stp>
        <stp>Last</stp>
        <tr r="G13" s="1"/>
      </tp>
      <tp t="s">
        <v>RTM1C49|LAST</v>
        <stp/>
        <stp>RTM1C49</stp>
        <stp>Last</stp>
        <tr r="G12" s="1"/>
      </tp>
      <tp t="s">
        <v>RTM2P49|LAST</v>
        <stp/>
        <stp>RTM2P49</stp>
        <stp>Last</stp>
        <tr r="G33" s="1"/>
      </tp>
      <tp t="s">
        <v>RTM2C49|LAST</v>
        <stp/>
        <stp>RTM2C49</stp>
        <stp>Last</stp>
        <tr r="G32" s="1"/>
      </tp>
      <tp t="s">
        <v>RTM|COST</v>
        <stp/>
        <stp>RTM</stp>
        <stp>Cost</stp>
        <tr r="F3" s="1"/>
      </tp>
      <tp t="s">
        <v>RTM|LAST</v>
        <stp/>
        <stp>RTM</stp>
        <stp>Last</stp>
        <tr r="G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45720</xdr:rowOff>
        </xdr:from>
        <xdr:to>
          <xdr:col>9</xdr:col>
          <xdr:colOff>228600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C264C-35B8-4FAC-85FE-0C2B1CF9AEA6}">
  <sheetPr codeName="Sheet1"/>
  <dimension ref="A2:I43"/>
  <sheetViews>
    <sheetView workbookViewId="0">
      <selection activeCell="H11" sqref="H11"/>
    </sheetView>
  </sheetViews>
  <sheetFormatPr defaultRowHeight="14.4" x14ac:dyDescent="0.3"/>
  <sheetData>
    <row r="2" spans="1:9" x14ac:dyDescent="0.3">
      <c r="A2" t="s">
        <v>41</v>
      </c>
      <c r="B2" t="s">
        <v>47</v>
      </c>
      <c r="C2" t="s">
        <v>48</v>
      </c>
      <c r="D2" t="s">
        <v>50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</row>
    <row r="3" spans="1:9" x14ac:dyDescent="0.3">
      <c r="A3" t="s">
        <v>0</v>
      </c>
      <c r="B3" t="s">
        <v>49</v>
      </c>
      <c r="C3" t="s">
        <v>49</v>
      </c>
      <c r="D3" t="s">
        <v>49</v>
      </c>
      <c r="E3" t="str">
        <f>RTD("rit2.rtd",,$A3,E$2)</f>
        <v>RTM|POSITION</v>
      </c>
      <c r="F3" t="str">
        <f>RTD("rit2.rtd",,$A3,F$2)</f>
        <v>RTM|COST</v>
      </c>
      <c r="G3" t="str">
        <f>RTD("rit2.rtd",,$A3,G$2)</f>
        <v>RTM|LAST</v>
      </c>
      <c r="H3" t="str">
        <f>RTD("rit2.rtd",,$A3,H$2)</f>
        <v>RTM|BID</v>
      </c>
      <c r="I3" t="str">
        <f>RTD("rit2.rtd",,$A3,I$2)</f>
        <v>RTM|ASK</v>
      </c>
    </row>
    <row r="4" spans="1:9" x14ac:dyDescent="0.3">
      <c r="A4" t="s">
        <v>1</v>
      </c>
      <c r="B4" t="str">
        <f>LEFT(RIGHT(A4,3),1)</f>
        <v>C</v>
      </c>
      <c r="C4" t="str">
        <f>RIGHT(A4,2)</f>
        <v>45</v>
      </c>
      <c r="D4" t="str">
        <f>LEFT(RIGHT(A4,4),1)</f>
        <v>1</v>
      </c>
      <c r="E4" t="str">
        <f>RTD("rit2.rtd",,$A4,E$2)</f>
        <v>RTM1C45|POSITION</v>
      </c>
      <c r="F4" t="str">
        <f>RTD("rit2.rtd",,$A4,F$2)</f>
        <v>RTM1C45|COST</v>
      </c>
      <c r="G4" t="str">
        <f>RTD("rit2.rtd",,$A4,G$2)</f>
        <v>RTM1C45|LAST</v>
      </c>
      <c r="H4" t="str">
        <f>RTD("rit2.rtd",,$A4,H$2)</f>
        <v>RTM1C45|BID</v>
      </c>
      <c r="I4" t="str">
        <f>RTD("rit2.rtd",,$A4,I$2)</f>
        <v>RTM1C45|ASK</v>
      </c>
    </row>
    <row r="5" spans="1:9" x14ac:dyDescent="0.3">
      <c r="A5" t="s">
        <v>2</v>
      </c>
      <c r="B5" t="str">
        <f t="shared" ref="B5:B43" si="0">LEFT(RIGHT(A5,3),1)</f>
        <v>P</v>
      </c>
      <c r="C5" t="str">
        <f t="shared" ref="C5:C43" si="1">RIGHT(A5,2)</f>
        <v>45</v>
      </c>
      <c r="D5" t="str">
        <f t="shared" ref="D5:D43" si="2">LEFT(RIGHT(A5,4),1)</f>
        <v>1</v>
      </c>
      <c r="E5" t="str">
        <f>RTD("rit2.rtd",,$A5,E$2)</f>
        <v>RTM1P45|POSITION</v>
      </c>
      <c r="F5" t="str">
        <f>RTD("rit2.rtd",,$A5,F$2)</f>
        <v>RTM1P45|COST</v>
      </c>
      <c r="G5" t="str">
        <f>RTD("rit2.rtd",,$A5,G$2)</f>
        <v>RTM1P45|LAST</v>
      </c>
      <c r="H5" t="str">
        <f>RTD("rit2.rtd",,$A5,H$2)</f>
        <v>RTM1P45|BID</v>
      </c>
      <c r="I5" t="str">
        <f>RTD("rit2.rtd",,$A5,I$2)</f>
        <v>RTM1P45|ASK</v>
      </c>
    </row>
    <row r="6" spans="1:9" x14ac:dyDescent="0.3">
      <c r="A6" t="s">
        <v>3</v>
      </c>
      <c r="B6" t="str">
        <f t="shared" si="0"/>
        <v>C</v>
      </c>
      <c r="C6" t="str">
        <f t="shared" si="1"/>
        <v>46</v>
      </c>
      <c r="D6" t="str">
        <f t="shared" si="2"/>
        <v>1</v>
      </c>
      <c r="E6" t="str">
        <f>RTD("rit2.rtd",,$A6,E$2)</f>
        <v>RTM1C46|POSITION</v>
      </c>
      <c r="F6" t="str">
        <f>RTD("rit2.rtd",,$A6,F$2)</f>
        <v>RTM1C46|COST</v>
      </c>
      <c r="G6" t="str">
        <f>RTD("rit2.rtd",,$A6,G$2)</f>
        <v>RTM1C46|LAST</v>
      </c>
      <c r="H6" t="str">
        <f>RTD("rit2.rtd",,$A6,H$2)</f>
        <v>RTM1C46|BID</v>
      </c>
      <c r="I6" t="str">
        <f>RTD("rit2.rtd",,$A6,I$2)</f>
        <v>RTM1C46|ASK</v>
      </c>
    </row>
    <row r="7" spans="1:9" x14ac:dyDescent="0.3">
      <c r="A7" t="s">
        <v>4</v>
      </c>
      <c r="B7" t="str">
        <f t="shared" si="0"/>
        <v>P</v>
      </c>
      <c r="C7" t="str">
        <f t="shared" si="1"/>
        <v>46</v>
      </c>
      <c r="D7" t="str">
        <f t="shared" si="2"/>
        <v>1</v>
      </c>
      <c r="E7" t="str">
        <f>RTD("rit2.rtd",,$A7,E$2)</f>
        <v>RTM1P46|POSITION</v>
      </c>
      <c r="F7" t="str">
        <f>RTD("rit2.rtd",,$A7,F$2)</f>
        <v>RTM1P46|COST</v>
      </c>
      <c r="G7" t="str">
        <f>RTD("rit2.rtd",,$A7,G$2)</f>
        <v>RTM1P46|LAST</v>
      </c>
      <c r="H7" t="str">
        <f>RTD("rit2.rtd",,$A7,H$2)</f>
        <v>RTM1P46|BID</v>
      </c>
      <c r="I7" t="str">
        <f>RTD("rit2.rtd",,$A7,I$2)</f>
        <v>RTM1P46|ASK</v>
      </c>
    </row>
    <row r="8" spans="1:9" x14ac:dyDescent="0.3">
      <c r="A8" t="s">
        <v>5</v>
      </c>
      <c r="B8" t="str">
        <f t="shared" si="0"/>
        <v>C</v>
      </c>
      <c r="C8" t="str">
        <f t="shared" si="1"/>
        <v>47</v>
      </c>
      <c r="D8" t="str">
        <f t="shared" si="2"/>
        <v>1</v>
      </c>
      <c r="E8" t="str">
        <f>RTD("rit2.rtd",,$A8,E$2)</f>
        <v>RTM1C47|POSITION</v>
      </c>
      <c r="F8" t="str">
        <f>RTD("rit2.rtd",,$A8,F$2)</f>
        <v>RTM1C47|COST</v>
      </c>
      <c r="G8" t="str">
        <f>RTD("rit2.rtd",,$A8,G$2)</f>
        <v>RTM1C47|LAST</v>
      </c>
      <c r="H8" t="str">
        <f>RTD("rit2.rtd",,$A8,H$2)</f>
        <v>RTM1C47|BID</v>
      </c>
      <c r="I8" t="str">
        <f>RTD("rit2.rtd",,$A8,I$2)</f>
        <v>RTM1C47|ASK</v>
      </c>
    </row>
    <row r="9" spans="1:9" x14ac:dyDescent="0.3">
      <c r="A9" t="s">
        <v>6</v>
      </c>
      <c r="B9" t="str">
        <f t="shared" si="0"/>
        <v>P</v>
      </c>
      <c r="C9" t="str">
        <f t="shared" si="1"/>
        <v>47</v>
      </c>
      <c r="D9" t="str">
        <f t="shared" si="2"/>
        <v>1</v>
      </c>
      <c r="E9" t="str">
        <f>RTD("rit2.rtd",,$A9,E$2)</f>
        <v>RTM1P47|POSITION</v>
      </c>
      <c r="F9" t="str">
        <f>RTD("rit2.rtd",,$A9,F$2)</f>
        <v>RTM1P47|COST</v>
      </c>
      <c r="G9" t="str">
        <f>RTD("rit2.rtd",,$A9,G$2)</f>
        <v>RTM1P47|LAST</v>
      </c>
      <c r="H9" t="str">
        <f>RTD("rit2.rtd",,$A9,H$2)</f>
        <v>RTM1P47|BID</v>
      </c>
      <c r="I9" t="str">
        <f>RTD("rit2.rtd",,$A9,I$2)</f>
        <v>RTM1P47|ASK</v>
      </c>
    </row>
    <row r="10" spans="1:9" x14ac:dyDescent="0.3">
      <c r="A10" t="s">
        <v>7</v>
      </c>
      <c r="B10" t="str">
        <f t="shared" si="0"/>
        <v>C</v>
      </c>
      <c r="C10" t="str">
        <f t="shared" si="1"/>
        <v>48</v>
      </c>
      <c r="D10" t="str">
        <f t="shared" si="2"/>
        <v>1</v>
      </c>
      <c r="E10" t="str">
        <f>RTD("rit2.rtd",,$A10,E$2)</f>
        <v>RTM1C48|POSITION</v>
      </c>
      <c r="F10" t="str">
        <f>RTD("rit2.rtd",,$A10,F$2)</f>
        <v>RTM1C48|COST</v>
      </c>
      <c r="G10" t="str">
        <f>RTD("rit2.rtd",,$A10,G$2)</f>
        <v>RTM1C48|LAST</v>
      </c>
      <c r="H10" t="str">
        <f>RTD("rit2.rtd",,$A10,H$2)</f>
        <v>RTM1C48|BID</v>
      </c>
      <c r="I10" t="str">
        <f>RTD("rit2.rtd",,$A10,I$2)</f>
        <v>RTM1C48|ASK</v>
      </c>
    </row>
    <row r="11" spans="1:9" x14ac:dyDescent="0.3">
      <c r="A11" t="s">
        <v>8</v>
      </c>
      <c r="B11" t="str">
        <f t="shared" si="0"/>
        <v>P</v>
      </c>
      <c r="C11" t="str">
        <f t="shared" si="1"/>
        <v>48</v>
      </c>
      <c r="D11" t="str">
        <f t="shared" si="2"/>
        <v>1</v>
      </c>
      <c r="E11" t="str">
        <f>RTD("rit2.rtd",,$A11,E$2)</f>
        <v>RTM1P48|POSITION</v>
      </c>
      <c r="F11" t="str">
        <f>RTD("rit2.rtd",,$A11,F$2)</f>
        <v>RTM1P48|COST</v>
      </c>
      <c r="G11" t="str">
        <f>RTD("rit2.rtd",,$A11,G$2)</f>
        <v>RTM1P48|LAST</v>
      </c>
      <c r="H11" t="str">
        <f>RTD("rit2.rtd",,$A11,H$2)</f>
        <v>RTM1P48|BID</v>
      </c>
      <c r="I11" t="str">
        <f>RTD("rit2.rtd",,$A11,I$2)</f>
        <v>RTM1P48|ASK</v>
      </c>
    </row>
    <row r="12" spans="1:9" x14ac:dyDescent="0.3">
      <c r="A12" t="s">
        <v>9</v>
      </c>
      <c r="B12" t="str">
        <f t="shared" si="0"/>
        <v>C</v>
      </c>
      <c r="C12" t="str">
        <f t="shared" si="1"/>
        <v>49</v>
      </c>
      <c r="D12" t="str">
        <f t="shared" si="2"/>
        <v>1</v>
      </c>
      <c r="E12" t="str">
        <f>RTD("rit2.rtd",,$A12,E$2)</f>
        <v>RTM1C49|POSITION</v>
      </c>
      <c r="F12" t="str">
        <f>RTD("rit2.rtd",,$A12,F$2)</f>
        <v>RTM1C49|COST</v>
      </c>
      <c r="G12" t="str">
        <f>RTD("rit2.rtd",,$A12,G$2)</f>
        <v>RTM1C49|LAST</v>
      </c>
      <c r="H12" t="str">
        <f>RTD("rit2.rtd",,$A12,H$2)</f>
        <v>RTM1C49|BID</v>
      </c>
      <c r="I12" t="str">
        <f>RTD("rit2.rtd",,$A12,I$2)</f>
        <v>RTM1C49|ASK</v>
      </c>
    </row>
    <row r="13" spans="1:9" x14ac:dyDescent="0.3">
      <c r="A13" t="s">
        <v>10</v>
      </c>
      <c r="B13" t="str">
        <f t="shared" si="0"/>
        <v>P</v>
      </c>
      <c r="C13" t="str">
        <f t="shared" si="1"/>
        <v>49</v>
      </c>
      <c r="D13" t="str">
        <f t="shared" si="2"/>
        <v>1</v>
      </c>
      <c r="E13" t="str">
        <f>RTD("rit2.rtd",,$A13,E$2)</f>
        <v>RTM1P49|POSITION</v>
      </c>
      <c r="F13" t="str">
        <f>RTD("rit2.rtd",,$A13,F$2)</f>
        <v>RTM1P49|COST</v>
      </c>
      <c r="G13" t="str">
        <f>RTD("rit2.rtd",,$A13,G$2)</f>
        <v>RTM1P49|LAST</v>
      </c>
      <c r="H13" t="str">
        <f>RTD("rit2.rtd",,$A13,H$2)</f>
        <v>RTM1P49|BID</v>
      </c>
      <c r="I13" t="str">
        <f>RTD("rit2.rtd",,$A13,I$2)</f>
        <v>RTM1P49|ASK</v>
      </c>
    </row>
    <row r="14" spans="1:9" x14ac:dyDescent="0.3">
      <c r="A14" t="s">
        <v>11</v>
      </c>
      <c r="B14" t="str">
        <f t="shared" si="0"/>
        <v>C</v>
      </c>
      <c r="C14" t="str">
        <f t="shared" si="1"/>
        <v>50</v>
      </c>
      <c r="D14" t="str">
        <f t="shared" si="2"/>
        <v>1</v>
      </c>
      <c r="E14" t="str">
        <f>RTD("rit2.rtd",,$A14,E$2)</f>
        <v>RTM1C50|POSITION</v>
      </c>
      <c r="F14" t="str">
        <f>RTD("rit2.rtd",,$A14,F$2)</f>
        <v>RTM1C50|COST</v>
      </c>
      <c r="G14" t="str">
        <f>RTD("rit2.rtd",,$A14,G$2)</f>
        <v>RTM1C50|LAST</v>
      </c>
      <c r="H14" t="str">
        <f>RTD("rit2.rtd",,$A14,H$2)</f>
        <v>RTM1C50|BID</v>
      </c>
      <c r="I14" t="str">
        <f>RTD("rit2.rtd",,$A14,I$2)</f>
        <v>RTM1C50|ASK</v>
      </c>
    </row>
    <row r="15" spans="1:9" x14ac:dyDescent="0.3">
      <c r="A15" t="s">
        <v>12</v>
      </c>
      <c r="B15" t="str">
        <f t="shared" si="0"/>
        <v>P</v>
      </c>
      <c r="C15" t="str">
        <f t="shared" si="1"/>
        <v>50</v>
      </c>
      <c r="D15" t="str">
        <f t="shared" si="2"/>
        <v>1</v>
      </c>
      <c r="E15" t="str">
        <f>RTD("rit2.rtd",,$A15,E$2)</f>
        <v>RTM1P50|POSITION</v>
      </c>
      <c r="F15" t="str">
        <f>RTD("rit2.rtd",,$A15,F$2)</f>
        <v>RTM1P50|COST</v>
      </c>
      <c r="G15" t="str">
        <f>RTD("rit2.rtd",,$A15,G$2)</f>
        <v>RTM1P50|LAST</v>
      </c>
      <c r="H15" t="str">
        <f>RTD("rit2.rtd",,$A15,H$2)</f>
        <v>RTM1P50|BID</v>
      </c>
      <c r="I15" t="str">
        <f>RTD("rit2.rtd",,$A15,I$2)</f>
        <v>RTM1P50|ASK</v>
      </c>
    </row>
    <row r="16" spans="1:9" x14ac:dyDescent="0.3">
      <c r="A16" t="s">
        <v>13</v>
      </c>
      <c r="B16" t="str">
        <f t="shared" si="0"/>
        <v>C</v>
      </c>
      <c r="C16" t="str">
        <f t="shared" si="1"/>
        <v>51</v>
      </c>
      <c r="D16" t="str">
        <f t="shared" si="2"/>
        <v>1</v>
      </c>
      <c r="E16" t="str">
        <f>RTD("rit2.rtd",,$A16,E$2)</f>
        <v>RTM1C51|POSITION</v>
      </c>
      <c r="F16" t="str">
        <f>RTD("rit2.rtd",,$A16,F$2)</f>
        <v>RTM1C51|COST</v>
      </c>
      <c r="G16" t="str">
        <f>RTD("rit2.rtd",,$A16,G$2)</f>
        <v>RTM1C51|LAST</v>
      </c>
      <c r="H16" t="str">
        <f>RTD("rit2.rtd",,$A16,H$2)</f>
        <v>RTM1C51|BID</v>
      </c>
      <c r="I16" t="str">
        <f>RTD("rit2.rtd",,$A16,I$2)</f>
        <v>RTM1C51|ASK</v>
      </c>
    </row>
    <row r="17" spans="1:9" x14ac:dyDescent="0.3">
      <c r="A17" t="s">
        <v>14</v>
      </c>
      <c r="B17" t="str">
        <f t="shared" si="0"/>
        <v>P</v>
      </c>
      <c r="C17" t="str">
        <f t="shared" si="1"/>
        <v>51</v>
      </c>
      <c r="D17" t="str">
        <f t="shared" si="2"/>
        <v>1</v>
      </c>
      <c r="E17" t="str">
        <f>RTD("rit2.rtd",,$A17,E$2)</f>
        <v>RTM1P51|POSITION</v>
      </c>
      <c r="F17" t="str">
        <f>RTD("rit2.rtd",,$A17,F$2)</f>
        <v>RTM1P51|COST</v>
      </c>
      <c r="G17" t="str">
        <f>RTD("rit2.rtd",,$A17,G$2)</f>
        <v>RTM1P51|LAST</v>
      </c>
      <c r="H17" t="str">
        <f>RTD("rit2.rtd",,$A17,H$2)</f>
        <v>RTM1P51|BID</v>
      </c>
      <c r="I17" t="str">
        <f>RTD("rit2.rtd",,$A17,I$2)</f>
        <v>RTM1P51|ASK</v>
      </c>
    </row>
    <row r="18" spans="1:9" x14ac:dyDescent="0.3">
      <c r="A18" t="s">
        <v>15</v>
      </c>
      <c r="B18" t="str">
        <f t="shared" si="0"/>
        <v>C</v>
      </c>
      <c r="C18" t="str">
        <f t="shared" si="1"/>
        <v>52</v>
      </c>
      <c r="D18" t="str">
        <f t="shared" si="2"/>
        <v>1</v>
      </c>
      <c r="E18" t="str">
        <f>RTD("rit2.rtd",,$A18,E$2)</f>
        <v>RTM1C52|POSITION</v>
      </c>
      <c r="F18" t="str">
        <f>RTD("rit2.rtd",,$A18,F$2)</f>
        <v>RTM1C52|COST</v>
      </c>
      <c r="G18" t="str">
        <f>RTD("rit2.rtd",,$A18,G$2)</f>
        <v>RTM1C52|LAST</v>
      </c>
      <c r="H18" t="str">
        <f>RTD("rit2.rtd",,$A18,H$2)</f>
        <v>RTM1C52|BID</v>
      </c>
      <c r="I18" t="str">
        <f>RTD("rit2.rtd",,$A18,I$2)</f>
        <v>RTM1C52|ASK</v>
      </c>
    </row>
    <row r="19" spans="1:9" x14ac:dyDescent="0.3">
      <c r="A19" t="s">
        <v>16</v>
      </c>
      <c r="B19" t="str">
        <f t="shared" si="0"/>
        <v>P</v>
      </c>
      <c r="C19" t="str">
        <f t="shared" si="1"/>
        <v>52</v>
      </c>
      <c r="D19" t="str">
        <f t="shared" si="2"/>
        <v>1</v>
      </c>
      <c r="E19" t="str">
        <f>RTD("rit2.rtd",,$A19,E$2)</f>
        <v>RTM1P52|POSITION</v>
      </c>
      <c r="F19" t="str">
        <f>RTD("rit2.rtd",,$A19,F$2)</f>
        <v>RTM1P52|COST</v>
      </c>
      <c r="G19" t="str">
        <f>RTD("rit2.rtd",,$A19,G$2)</f>
        <v>RTM1P52|LAST</v>
      </c>
      <c r="H19" t="str">
        <f>RTD("rit2.rtd",,$A19,H$2)</f>
        <v>RTM1P52|BID</v>
      </c>
      <c r="I19" t="str">
        <f>RTD("rit2.rtd",,$A19,I$2)</f>
        <v>RTM1P52|ASK</v>
      </c>
    </row>
    <row r="20" spans="1:9" x14ac:dyDescent="0.3">
      <c r="A20" t="s">
        <v>17</v>
      </c>
      <c r="B20" t="str">
        <f t="shared" si="0"/>
        <v>C</v>
      </c>
      <c r="C20" t="str">
        <f t="shared" si="1"/>
        <v>53</v>
      </c>
      <c r="D20" t="str">
        <f t="shared" si="2"/>
        <v>1</v>
      </c>
      <c r="E20" t="str">
        <f>RTD("rit2.rtd",,$A20,E$2)</f>
        <v>RTM1C53|POSITION</v>
      </c>
      <c r="F20" t="str">
        <f>RTD("rit2.rtd",,$A20,F$2)</f>
        <v>RTM1C53|COST</v>
      </c>
      <c r="G20" t="str">
        <f>RTD("rit2.rtd",,$A20,G$2)</f>
        <v>RTM1C53|LAST</v>
      </c>
      <c r="H20" t="str">
        <f>RTD("rit2.rtd",,$A20,H$2)</f>
        <v>RTM1C53|BID</v>
      </c>
      <c r="I20" t="str">
        <f>RTD("rit2.rtd",,$A20,I$2)</f>
        <v>RTM1C53|ASK</v>
      </c>
    </row>
    <row r="21" spans="1:9" x14ac:dyDescent="0.3">
      <c r="A21" t="s">
        <v>18</v>
      </c>
      <c r="B21" t="str">
        <f t="shared" si="0"/>
        <v>P</v>
      </c>
      <c r="C21" t="str">
        <f t="shared" si="1"/>
        <v>53</v>
      </c>
      <c r="D21" t="str">
        <f t="shared" si="2"/>
        <v>1</v>
      </c>
      <c r="E21" t="str">
        <f>RTD("rit2.rtd",,$A21,E$2)</f>
        <v>RTM1P53|POSITION</v>
      </c>
      <c r="F21" t="str">
        <f>RTD("rit2.rtd",,$A21,F$2)</f>
        <v>RTM1P53|COST</v>
      </c>
      <c r="G21" t="str">
        <f>RTD("rit2.rtd",,$A21,G$2)</f>
        <v>RTM1P53|LAST</v>
      </c>
      <c r="H21" t="str">
        <f>RTD("rit2.rtd",,$A21,H$2)</f>
        <v>RTM1P53|BID</v>
      </c>
      <c r="I21" t="str">
        <f>RTD("rit2.rtd",,$A21,I$2)</f>
        <v>RTM1P53|ASK</v>
      </c>
    </row>
    <row r="22" spans="1:9" x14ac:dyDescent="0.3">
      <c r="A22" t="s">
        <v>19</v>
      </c>
      <c r="B22" t="str">
        <f t="shared" si="0"/>
        <v>C</v>
      </c>
      <c r="C22" t="str">
        <f t="shared" si="1"/>
        <v>54</v>
      </c>
      <c r="D22" t="str">
        <f t="shared" si="2"/>
        <v>1</v>
      </c>
      <c r="E22" t="str">
        <f>RTD("rit2.rtd",,$A22,E$2)</f>
        <v>RTM1C54|POSITION</v>
      </c>
      <c r="F22" t="str">
        <f>RTD("rit2.rtd",,$A22,F$2)</f>
        <v>RTM1C54|COST</v>
      </c>
      <c r="G22" t="str">
        <f>RTD("rit2.rtd",,$A22,G$2)</f>
        <v>RTM1C54|LAST</v>
      </c>
      <c r="H22" t="str">
        <f>RTD("rit2.rtd",,$A22,H$2)</f>
        <v>RTM1C54|BID</v>
      </c>
      <c r="I22" t="str">
        <f>RTD("rit2.rtd",,$A22,I$2)</f>
        <v>RTM1C54|ASK</v>
      </c>
    </row>
    <row r="23" spans="1:9" x14ac:dyDescent="0.3">
      <c r="A23" t="s">
        <v>20</v>
      </c>
      <c r="B23" t="str">
        <f t="shared" si="0"/>
        <v>P</v>
      </c>
      <c r="C23" t="str">
        <f t="shared" si="1"/>
        <v>54</v>
      </c>
      <c r="D23" t="str">
        <f t="shared" si="2"/>
        <v>1</v>
      </c>
      <c r="E23" t="str">
        <f>RTD("rit2.rtd",,$A23,E$2)</f>
        <v>RTM1P54|POSITION</v>
      </c>
      <c r="F23" t="str">
        <f>RTD("rit2.rtd",,$A23,F$2)</f>
        <v>RTM1P54|COST</v>
      </c>
      <c r="G23" t="str">
        <f>RTD("rit2.rtd",,$A23,G$2)</f>
        <v>RTM1P54|LAST</v>
      </c>
      <c r="H23" t="str">
        <f>RTD("rit2.rtd",,$A23,H$2)</f>
        <v>RTM1P54|BID</v>
      </c>
      <c r="I23" t="str">
        <f>RTD("rit2.rtd",,$A23,I$2)</f>
        <v>RTM1P54|ASK</v>
      </c>
    </row>
    <row r="24" spans="1:9" x14ac:dyDescent="0.3">
      <c r="A24" t="s">
        <v>21</v>
      </c>
      <c r="B24" t="str">
        <f t="shared" si="0"/>
        <v>C</v>
      </c>
      <c r="C24" t="str">
        <f t="shared" si="1"/>
        <v>45</v>
      </c>
      <c r="D24" t="str">
        <f t="shared" si="2"/>
        <v>2</v>
      </c>
      <c r="E24" t="str">
        <f>RTD("rit2.rtd",,$A24,E$2)</f>
        <v>RTM2C45|POSITION</v>
      </c>
      <c r="F24" t="str">
        <f>RTD("rit2.rtd",,$A24,F$2)</f>
        <v>RTM2C45|COST</v>
      </c>
      <c r="G24" t="str">
        <f>RTD("rit2.rtd",,$A24,G$2)</f>
        <v>RTM2C45|LAST</v>
      </c>
      <c r="H24" t="str">
        <f>RTD("rit2.rtd",,$A24,H$2)</f>
        <v>RTM2C45|BID</v>
      </c>
      <c r="I24" t="str">
        <f>RTD("rit2.rtd",,$A24,I$2)</f>
        <v>RTM2C45|ASK</v>
      </c>
    </row>
    <row r="25" spans="1:9" x14ac:dyDescent="0.3">
      <c r="A25" t="s">
        <v>22</v>
      </c>
      <c r="B25" t="str">
        <f t="shared" si="0"/>
        <v>P</v>
      </c>
      <c r="C25" t="str">
        <f t="shared" si="1"/>
        <v>45</v>
      </c>
      <c r="D25" t="str">
        <f t="shared" si="2"/>
        <v>2</v>
      </c>
      <c r="E25" t="str">
        <f>RTD("rit2.rtd",,$A25,E$2)</f>
        <v>RTM2P45|POSITION</v>
      </c>
      <c r="F25" t="str">
        <f>RTD("rit2.rtd",,$A25,F$2)</f>
        <v>RTM2P45|COST</v>
      </c>
      <c r="G25" t="str">
        <f>RTD("rit2.rtd",,$A25,G$2)</f>
        <v>RTM2P45|LAST</v>
      </c>
      <c r="H25" t="str">
        <f>RTD("rit2.rtd",,$A25,H$2)</f>
        <v>RTM2P45|BID</v>
      </c>
      <c r="I25" t="str">
        <f>RTD("rit2.rtd",,$A25,I$2)</f>
        <v>RTM2P45|ASK</v>
      </c>
    </row>
    <row r="26" spans="1:9" x14ac:dyDescent="0.3">
      <c r="A26" t="s">
        <v>23</v>
      </c>
      <c r="B26" t="str">
        <f t="shared" si="0"/>
        <v>C</v>
      </c>
      <c r="C26" t="str">
        <f t="shared" si="1"/>
        <v>46</v>
      </c>
      <c r="D26" t="str">
        <f t="shared" si="2"/>
        <v>2</v>
      </c>
      <c r="E26" t="str">
        <f>RTD("rit2.rtd",,$A26,E$2)</f>
        <v>RTM2C46|POSITION</v>
      </c>
      <c r="F26" t="str">
        <f>RTD("rit2.rtd",,$A26,F$2)</f>
        <v>RTM2C46|COST</v>
      </c>
      <c r="G26" t="str">
        <f>RTD("rit2.rtd",,$A26,G$2)</f>
        <v>RTM2C46|LAST</v>
      </c>
      <c r="H26" t="str">
        <f>RTD("rit2.rtd",,$A26,H$2)</f>
        <v>RTM2C46|BID</v>
      </c>
      <c r="I26" t="str">
        <f>RTD("rit2.rtd",,$A26,I$2)</f>
        <v>RTM2C46|ASK</v>
      </c>
    </row>
    <row r="27" spans="1:9" x14ac:dyDescent="0.3">
      <c r="A27" t="s">
        <v>24</v>
      </c>
      <c r="B27" t="str">
        <f t="shared" si="0"/>
        <v>P</v>
      </c>
      <c r="C27" t="str">
        <f t="shared" si="1"/>
        <v>46</v>
      </c>
      <c r="D27" t="str">
        <f t="shared" si="2"/>
        <v>2</v>
      </c>
      <c r="E27" t="str">
        <f>RTD("rit2.rtd",,$A27,E$2)</f>
        <v>RTM2P46|POSITION</v>
      </c>
      <c r="F27" t="str">
        <f>RTD("rit2.rtd",,$A27,F$2)</f>
        <v>RTM2P46|COST</v>
      </c>
      <c r="G27" t="str">
        <f>RTD("rit2.rtd",,$A27,G$2)</f>
        <v>RTM2P46|LAST</v>
      </c>
      <c r="H27" t="str">
        <f>RTD("rit2.rtd",,$A27,H$2)</f>
        <v>RTM2P46|BID</v>
      </c>
      <c r="I27" t="str">
        <f>RTD("rit2.rtd",,$A27,I$2)</f>
        <v>RTM2P46|ASK</v>
      </c>
    </row>
    <row r="28" spans="1:9" x14ac:dyDescent="0.3">
      <c r="A28" t="s">
        <v>25</v>
      </c>
      <c r="B28" t="str">
        <f t="shared" si="0"/>
        <v>C</v>
      </c>
      <c r="C28" t="str">
        <f t="shared" si="1"/>
        <v>47</v>
      </c>
      <c r="D28" t="str">
        <f t="shared" si="2"/>
        <v>2</v>
      </c>
      <c r="E28" t="str">
        <f>RTD("rit2.rtd",,$A28,E$2)</f>
        <v>RTM2C47|POSITION</v>
      </c>
      <c r="F28" t="str">
        <f>RTD("rit2.rtd",,$A28,F$2)</f>
        <v>RTM2C47|COST</v>
      </c>
      <c r="G28" t="str">
        <f>RTD("rit2.rtd",,$A28,G$2)</f>
        <v>RTM2C47|LAST</v>
      </c>
      <c r="H28" t="str">
        <f>RTD("rit2.rtd",,$A28,H$2)</f>
        <v>RTM2C47|BID</v>
      </c>
      <c r="I28" t="str">
        <f>RTD("rit2.rtd",,$A28,I$2)</f>
        <v>RTM2C47|ASK</v>
      </c>
    </row>
    <row r="29" spans="1:9" x14ac:dyDescent="0.3">
      <c r="A29" t="s">
        <v>26</v>
      </c>
      <c r="B29" t="str">
        <f t="shared" si="0"/>
        <v>P</v>
      </c>
      <c r="C29" t="str">
        <f t="shared" si="1"/>
        <v>47</v>
      </c>
      <c r="D29" t="str">
        <f t="shared" si="2"/>
        <v>2</v>
      </c>
      <c r="E29" t="str">
        <f>RTD("rit2.rtd",,$A29,E$2)</f>
        <v>RTM2P47|POSITION</v>
      </c>
      <c r="F29" t="str">
        <f>RTD("rit2.rtd",,$A29,F$2)</f>
        <v>RTM2P47|COST</v>
      </c>
      <c r="G29" t="str">
        <f>RTD("rit2.rtd",,$A29,G$2)</f>
        <v>RTM2P47|LAST</v>
      </c>
      <c r="H29" t="str">
        <f>RTD("rit2.rtd",,$A29,H$2)</f>
        <v>RTM2P47|BID</v>
      </c>
      <c r="I29" t="str">
        <f>RTD("rit2.rtd",,$A29,I$2)</f>
        <v>RTM2P47|ASK</v>
      </c>
    </row>
    <row r="30" spans="1:9" x14ac:dyDescent="0.3">
      <c r="A30" t="s">
        <v>27</v>
      </c>
      <c r="B30" t="str">
        <f t="shared" si="0"/>
        <v>C</v>
      </c>
      <c r="C30" t="str">
        <f t="shared" si="1"/>
        <v>48</v>
      </c>
      <c r="D30" t="str">
        <f t="shared" si="2"/>
        <v>2</v>
      </c>
      <c r="E30" t="str">
        <f>RTD("rit2.rtd",,$A30,E$2)</f>
        <v>RTM2C48|POSITION</v>
      </c>
      <c r="F30" t="str">
        <f>RTD("rit2.rtd",,$A30,F$2)</f>
        <v>RTM2C48|COST</v>
      </c>
      <c r="G30" t="str">
        <f>RTD("rit2.rtd",,$A30,G$2)</f>
        <v>RTM2C48|LAST</v>
      </c>
      <c r="H30" t="str">
        <f>RTD("rit2.rtd",,$A30,H$2)</f>
        <v>RTM2C48|BID</v>
      </c>
      <c r="I30" t="str">
        <f>RTD("rit2.rtd",,$A30,I$2)</f>
        <v>RTM2C48|ASK</v>
      </c>
    </row>
    <row r="31" spans="1:9" x14ac:dyDescent="0.3">
      <c r="A31" t="s">
        <v>28</v>
      </c>
      <c r="B31" t="str">
        <f t="shared" si="0"/>
        <v>P</v>
      </c>
      <c r="C31" t="str">
        <f t="shared" si="1"/>
        <v>48</v>
      </c>
      <c r="D31" t="str">
        <f t="shared" si="2"/>
        <v>2</v>
      </c>
      <c r="E31" t="str">
        <f>RTD("rit2.rtd",,$A31,E$2)</f>
        <v>RTM2P48|POSITION</v>
      </c>
      <c r="F31" t="str">
        <f>RTD("rit2.rtd",,$A31,F$2)</f>
        <v>RTM2P48|COST</v>
      </c>
      <c r="G31" t="str">
        <f>RTD("rit2.rtd",,$A31,G$2)</f>
        <v>RTM2P48|LAST</v>
      </c>
      <c r="H31" t="str">
        <f>RTD("rit2.rtd",,$A31,H$2)</f>
        <v>RTM2P48|BID</v>
      </c>
      <c r="I31" t="str">
        <f>RTD("rit2.rtd",,$A31,I$2)</f>
        <v>RTM2P48|ASK</v>
      </c>
    </row>
    <row r="32" spans="1:9" x14ac:dyDescent="0.3">
      <c r="A32" t="s">
        <v>29</v>
      </c>
      <c r="B32" t="str">
        <f t="shared" si="0"/>
        <v>C</v>
      </c>
      <c r="C32" t="str">
        <f t="shared" si="1"/>
        <v>49</v>
      </c>
      <c r="D32" t="str">
        <f t="shared" si="2"/>
        <v>2</v>
      </c>
      <c r="E32" t="str">
        <f>RTD("rit2.rtd",,$A32,E$2)</f>
        <v>RTM2C49|POSITION</v>
      </c>
      <c r="F32" t="str">
        <f>RTD("rit2.rtd",,$A32,F$2)</f>
        <v>RTM2C49|COST</v>
      </c>
      <c r="G32" t="str">
        <f>RTD("rit2.rtd",,$A32,G$2)</f>
        <v>RTM2C49|LAST</v>
      </c>
      <c r="H32" t="str">
        <f>RTD("rit2.rtd",,$A32,H$2)</f>
        <v>RTM2C49|BID</v>
      </c>
      <c r="I32" t="str">
        <f>RTD("rit2.rtd",,$A32,I$2)</f>
        <v>RTM2C49|ASK</v>
      </c>
    </row>
    <row r="33" spans="1:9" x14ac:dyDescent="0.3">
      <c r="A33" t="s">
        <v>30</v>
      </c>
      <c r="B33" t="str">
        <f t="shared" si="0"/>
        <v>P</v>
      </c>
      <c r="C33" t="str">
        <f t="shared" si="1"/>
        <v>49</v>
      </c>
      <c r="D33" t="str">
        <f t="shared" si="2"/>
        <v>2</v>
      </c>
      <c r="E33" t="str">
        <f>RTD("rit2.rtd",,$A33,E$2)</f>
        <v>RTM2P49|POSITION</v>
      </c>
      <c r="F33" t="str">
        <f>RTD("rit2.rtd",,$A33,F$2)</f>
        <v>RTM2P49|COST</v>
      </c>
      <c r="G33" t="str">
        <f>RTD("rit2.rtd",,$A33,G$2)</f>
        <v>RTM2P49|LAST</v>
      </c>
      <c r="H33" t="str">
        <f>RTD("rit2.rtd",,$A33,H$2)</f>
        <v>RTM2P49|BID</v>
      </c>
      <c r="I33" t="str">
        <f>RTD("rit2.rtd",,$A33,I$2)</f>
        <v>RTM2P49|ASK</v>
      </c>
    </row>
    <row r="34" spans="1:9" x14ac:dyDescent="0.3">
      <c r="A34" t="s">
        <v>31</v>
      </c>
      <c r="B34" t="str">
        <f t="shared" si="0"/>
        <v>C</v>
      </c>
      <c r="C34" t="str">
        <f t="shared" si="1"/>
        <v>50</v>
      </c>
      <c r="D34" t="str">
        <f t="shared" si="2"/>
        <v>2</v>
      </c>
      <c r="E34" t="str">
        <f>RTD("rit2.rtd",,$A34,E$2)</f>
        <v>RTM2C50|POSITION</v>
      </c>
      <c r="F34" t="str">
        <f>RTD("rit2.rtd",,$A34,F$2)</f>
        <v>RTM2C50|COST</v>
      </c>
      <c r="G34" t="str">
        <f>RTD("rit2.rtd",,$A34,G$2)</f>
        <v>RTM2C50|LAST</v>
      </c>
      <c r="H34" t="str">
        <f>RTD("rit2.rtd",,$A34,H$2)</f>
        <v>RTM2C50|BID</v>
      </c>
      <c r="I34" t="str">
        <f>RTD("rit2.rtd",,$A34,I$2)</f>
        <v>RTM2C50|ASK</v>
      </c>
    </row>
    <row r="35" spans="1:9" x14ac:dyDescent="0.3">
      <c r="A35" t="s">
        <v>32</v>
      </c>
      <c r="B35" t="str">
        <f t="shared" si="0"/>
        <v>P</v>
      </c>
      <c r="C35" t="str">
        <f t="shared" si="1"/>
        <v>50</v>
      </c>
      <c r="D35" t="str">
        <f t="shared" si="2"/>
        <v>2</v>
      </c>
      <c r="E35" t="str">
        <f>RTD("rit2.rtd",,$A35,E$2)</f>
        <v>RTM2P50|POSITION</v>
      </c>
      <c r="F35" t="str">
        <f>RTD("rit2.rtd",,$A35,F$2)</f>
        <v>RTM2P50|COST</v>
      </c>
      <c r="G35" t="str">
        <f>RTD("rit2.rtd",,$A35,G$2)</f>
        <v>RTM2P50|LAST</v>
      </c>
      <c r="H35" t="str">
        <f>RTD("rit2.rtd",,$A35,H$2)</f>
        <v>RTM2P50|BID</v>
      </c>
      <c r="I35" t="str">
        <f>RTD("rit2.rtd",,$A35,I$2)</f>
        <v>RTM2P50|ASK</v>
      </c>
    </row>
    <row r="36" spans="1:9" x14ac:dyDescent="0.3">
      <c r="A36" t="s">
        <v>33</v>
      </c>
      <c r="B36" t="str">
        <f t="shared" si="0"/>
        <v>C</v>
      </c>
      <c r="C36" t="str">
        <f t="shared" si="1"/>
        <v>51</v>
      </c>
      <c r="D36" t="str">
        <f t="shared" si="2"/>
        <v>2</v>
      </c>
      <c r="E36" t="str">
        <f>RTD("rit2.rtd",,$A36,E$2)</f>
        <v>RTM2C51|POSITION</v>
      </c>
      <c r="F36" t="str">
        <f>RTD("rit2.rtd",,$A36,F$2)</f>
        <v>RTM2C51|COST</v>
      </c>
      <c r="G36" t="str">
        <f>RTD("rit2.rtd",,$A36,G$2)</f>
        <v>RTM2C51|LAST</v>
      </c>
      <c r="H36" t="str">
        <f>RTD("rit2.rtd",,$A36,H$2)</f>
        <v>RTM2C51|BID</v>
      </c>
      <c r="I36" t="str">
        <f>RTD("rit2.rtd",,$A36,I$2)</f>
        <v>RTM2C51|ASK</v>
      </c>
    </row>
    <row r="37" spans="1:9" x14ac:dyDescent="0.3">
      <c r="A37" t="s">
        <v>34</v>
      </c>
      <c r="B37" t="str">
        <f t="shared" si="0"/>
        <v>P</v>
      </c>
      <c r="C37" t="str">
        <f t="shared" si="1"/>
        <v>51</v>
      </c>
      <c r="D37" t="str">
        <f t="shared" si="2"/>
        <v>2</v>
      </c>
      <c r="E37" t="str">
        <f>RTD("rit2.rtd",,$A37,E$2)</f>
        <v>RTM2P51|POSITION</v>
      </c>
      <c r="F37" t="str">
        <f>RTD("rit2.rtd",,$A37,F$2)</f>
        <v>RTM2P51|COST</v>
      </c>
      <c r="G37" t="str">
        <f>RTD("rit2.rtd",,$A37,G$2)</f>
        <v>RTM2P51|LAST</v>
      </c>
      <c r="H37" t="str">
        <f>RTD("rit2.rtd",,$A37,H$2)</f>
        <v>RTM2P51|BID</v>
      </c>
      <c r="I37" t="str">
        <f>RTD("rit2.rtd",,$A37,I$2)</f>
        <v>RTM2P51|ASK</v>
      </c>
    </row>
    <row r="38" spans="1:9" x14ac:dyDescent="0.3">
      <c r="A38" t="s">
        <v>35</v>
      </c>
      <c r="B38" t="str">
        <f t="shared" si="0"/>
        <v>C</v>
      </c>
      <c r="C38" t="str">
        <f t="shared" si="1"/>
        <v>52</v>
      </c>
      <c r="D38" t="str">
        <f t="shared" si="2"/>
        <v>2</v>
      </c>
      <c r="E38" t="str">
        <f>RTD("rit2.rtd",,$A38,E$2)</f>
        <v>RTM2C52|POSITION</v>
      </c>
      <c r="F38" t="str">
        <f>RTD("rit2.rtd",,$A38,F$2)</f>
        <v>RTM2C52|COST</v>
      </c>
      <c r="G38" t="str">
        <f>RTD("rit2.rtd",,$A38,G$2)</f>
        <v>RTM2C52|LAST</v>
      </c>
      <c r="H38" t="str">
        <f>RTD("rit2.rtd",,$A38,H$2)</f>
        <v>RTM2C52|BID</v>
      </c>
      <c r="I38" t="str">
        <f>RTD("rit2.rtd",,$A38,I$2)</f>
        <v>RTM2C52|ASK</v>
      </c>
    </row>
    <row r="39" spans="1:9" x14ac:dyDescent="0.3">
      <c r="A39" t="s">
        <v>36</v>
      </c>
      <c r="B39" t="str">
        <f t="shared" si="0"/>
        <v>P</v>
      </c>
      <c r="C39" t="str">
        <f t="shared" si="1"/>
        <v>52</v>
      </c>
      <c r="D39" t="str">
        <f t="shared" si="2"/>
        <v>2</v>
      </c>
      <c r="E39" t="str">
        <f>RTD("rit2.rtd",,$A39,E$2)</f>
        <v>RTM2P52|POSITION</v>
      </c>
      <c r="F39" t="str">
        <f>RTD("rit2.rtd",,$A39,F$2)</f>
        <v>RTM2P52|COST</v>
      </c>
      <c r="G39" t="str">
        <f>RTD("rit2.rtd",,$A39,G$2)</f>
        <v>RTM2P52|LAST</v>
      </c>
      <c r="H39" t="str">
        <f>RTD("rit2.rtd",,$A39,H$2)</f>
        <v>RTM2P52|BID</v>
      </c>
      <c r="I39" t="str">
        <f>RTD("rit2.rtd",,$A39,I$2)</f>
        <v>RTM2P52|ASK</v>
      </c>
    </row>
    <row r="40" spans="1:9" x14ac:dyDescent="0.3">
      <c r="A40" t="s">
        <v>37</v>
      </c>
      <c r="B40" t="str">
        <f t="shared" si="0"/>
        <v>C</v>
      </c>
      <c r="C40" t="str">
        <f t="shared" si="1"/>
        <v>53</v>
      </c>
      <c r="D40" t="str">
        <f t="shared" si="2"/>
        <v>2</v>
      </c>
      <c r="E40" t="str">
        <f>RTD("rit2.rtd",,$A40,E$2)</f>
        <v>RTM2C53|POSITION</v>
      </c>
      <c r="F40" t="str">
        <f>RTD("rit2.rtd",,$A40,F$2)</f>
        <v>RTM2C53|COST</v>
      </c>
      <c r="G40" t="str">
        <f>RTD("rit2.rtd",,$A40,G$2)</f>
        <v>RTM2C53|LAST</v>
      </c>
      <c r="H40" t="str">
        <f>RTD("rit2.rtd",,$A40,H$2)</f>
        <v>RTM2C53|BID</v>
      </c>
      <c r="I40" t="str">
        <f>RTD("rit2.rtd",,$A40,I$2)</f>
        <v>RTM2C53|ASK</v>
      </c>
    </row>
    <row r="41" spans="1:9" x14ac:dyDescent="0.3">
      <c r="A41" t="s">
        <v>38</v>
      </c>
      <c r="B41" t="str">
        <f t="shared" si="0"/>
        <v>P</v>
      </c>
      <c r="C41" t="str">
        <f t="shared" si="1"/>
        <v>53</v>
      </c>
      <c r="D41" t="str">
        <f t="shared" si="2"/>
        <v>2</v>
      </c>
      <c r="E41" t="str">
        <f>RTD("rit2.rtd",,$A41,E$2)</f>
        <v>RTM2P53|POSITION</v>
      </c>
      <c r="F41" t="str">
        <f>RTD("rit2.rtd",,$A41,F$2)</f>
        <v>RTM2P53|COST</v>
      </c>
      <c r="G41" t="str">
        <f>RTD("rit2.rtd",,$A41,G$2)</f>
        <v>RTM2P53|LAST</v>
      </c>
      <c r="H41" t="str">
        <f>RTD("rit2.rtd",,$A41,H$2)</f>
        <v>RTM2P53|BID</v>
      </c>
      <c r="I41" t="str">
        <f>RTD("rit2.rtd",,$A41,I$2)</f>
        <v>RTM2P53|ASK</v>
      </c>
    </row>
    <row r="42" spans="1:9" x14ac:dyDescent="0.3">
      <c r="A42" t="s">
        <v>39</v>
      </c>
      <c r="B42" t="str">
        <f t="shared" si="0"/>
        <v>C</v>
      </c>
      <c r="C42" t="str">
        <f t="shared" si="1"/>
        <v>54</v>
      </c>
      <c r="D42" t="str">
        <f t="shared" si="2"/>
        <v>2</v>
      </c>
      <c r="E42" t="str">
        <f>RTD("rit2.rtd",,$A42,E$2)</f>
        <v>RTM2C54|POSITION</v>
      </c>
      <c r="F42" t="str">
        <f>RTD("rit2.rtd",,$A42,F$2)</f>
        <v>RTM2C54|COST</v>
      </c>
      <c r="G42" t="str">
        <f>RTD("rit2.rtd",,$A42,G$2)</f>
        <v>RTM2C54|LAST</v>
      </c>
      <c r="H42" t="str">
        <f>RTD("rit2.rtd",,$A42,H$2)</f>
        <v>RTM2C54|BID</v>
      </c>
      <c r="I42" t="str">
        <f>RTD("rit2.rtd",,$A42,I$2)</f>
        <v>RTM2C54|ASK</v>
      </c>
    </row>
    <row r="43" spans="1:9" x14ac:dyDescent="0.3">
      <c r="A43" t="s">
        <v>40</v>
      </c>
      <c r="B43" t="str">
        <f t="shared" si="0"/>
        <v>P</v>
      </c>
      <c r="C43" t="str">
        <f t="shared" si="1"/>
        <v>54</v>
      </c>
      <c r="D43" t="str">
        <f t="shared" si="2"/>
        <v>2</v>
      </c>
      <c r="E43" t="str">
        <f>RTD("rit2.rtd",,$A43,E$2)</f>
        <v>RTM2P54|POSITION</v>
      </c>
      <c r="F43" t="str">
        <f>RTD("rit2.rtd",,$A43,F$2)</f>
        <v>RTM2P54|COST</v>
      </c>
      <c r="G43" t="str">
        <f>RTD("rit2.rtd",,$A43,G$2)</f>
        <v>RTM2P54|LAST</v>
      </c>
      <c r="H43" t="str">
        <f>RTD("rit2.rtd",,$A43,H$2)</f>
        <v>RTM2P54|BID</v>
      </c>
      <c r="I43" t="str">
        <f>RTD("rit2.rtd",,$A43,I$2)</f>
        <v>RTM2P54|ASK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5D1F-D7B4-4FD1-B905-9FB92AC0B682}">
  <sheetPr codeName="Sheet2"/>
  <dimension ref="A1:P73"/>
  <sheetViews>
    <sheetView tabSelected="1" workbookViewId="0">
      <pane ySplit="7" topLeftCell="A8" activePane="bottomLeft" state="frozen"/>
      <selection pane="bottomLeft" activeCell="C73" sqref="C73"/>
    </sheetView>
  </sheetViews>
  <sheetFormatPr defaultRowHeight="14.4" x14ac:dyDescent="0.3"/>
  <cols>
    <col min="1" max="1" width="14" bestFit="1" customWidth="1"/>
    <col min="2" max="2" width="10.109375" bestFit="1" customWidth="1"/>
    <col min="3" max="4" width="8.88671875" bestFit="1" customWidth="1"/>
    <col min="5" max="5" width="10.6640625" bestFit="1" customWidth="1"/>
    <col min="9" max="9" width="13.44140625" bestFit="1" customWidth="1"/>
    <col min="11" max="11" width="9.5546875" bestFit="1" customWidth="1"/>
  </cols>
  <sheetData>
    <row r="1" spans="1:16" x14ac:dyDescent="0.3">
      <c r="A1" t="s">
        <v>55</v>
      </c>
      <c r="B1" t="str">
        <f>RTD("rit2.rtd",,"TRADERID")</f>
        <v>TRADERID</v>
      </c>
    </row>
    <row r="2" spans="1:16" x14ac:dyDescent="0.3">
      <c r="A2" t="s">
        <v>56</v>
      </c>
      <c r="B2" s="1" t="str">
        <f>RTD("rit2.rtd",,"PL")</f>
        <v>PL</v>
      </c>
      <c r="C2" s="1"/>
      <c r="D2" s="1"/>
      <c r="E2" s="1"/>
    </row>
    <row r="3" spans="1:16" x14ac:dyDescent="0.3">
      <c r="A3" t="s">
        <v>57</v>
      </c>
      <c r="B3" t="e">
        <f>300-B4</f>
        <v>#VALUE!</v>
      </c>
    </row>
    <row r="4" spans="1:16" x14ac:dyDescent="0.3">
      <c r="A4" t="s">
        <v>58</v>
      </c>
      <c r="B4" t="str">
        <f>RTD("rit2.rtd",,"TIMEREMAINING")</f>
        <v>TIMEREMAINING</v>
      </c>
    </row>
    <row r="5" spans="1:16" x14ac:dyDescent="0.3">
      <c r="A5" t="s">
        <v>59</v>
      </c>
      <c r="B5" t="str">
        <f>RTD("rit2.rtd",,"PERIOD")</f>
        <v>PERIOD</v>
      </c>
    </row>
    <row r="6" spans="1:16" x14ac:dyDescent="0.3">
      <c r="C6" s="3" t="s">
        <v>41</v>
      </c>
      <c r="D6" s="3"/>
      <c r="E6" s="3"/>
      <c r="L6" s="2">
        <v>0.02</v>
      </c>
    </row>
    <row r="7" spans="1:16" x14ac:dyDescent="0.3">
      <c r="A7" t="s">
        <v>48</v>
      </c>
      <c r="B7" t="s">
        <v>50</v>
      </c>
      <c r="C7" t="s">
        <v>51</v>
      </c>
      <c r="D7" t="s">
        <v>52</v>
      </c>
      <c r="E7" t="s">
        <v>53</v>
      </c>
      <c r="F7" t="s">
        <v>66</v>
      </c>
      <c r="G7" t="s">
        <v>67</v>
      </c>
      <c r="H7" t="s">
        <v>68</v>
      </c>
      <c r="I7" t="s">
        <v>65</v>
      </c>
      <c r="J7" t="s">
        <v>69</v>
      </c>
      <c r="K7" t="s">
        <v>60</v>
      </c>
      <c r="L7" t="s">
        <v>54</v>
      </c>
      <c r="M7" t="s">
        <v>42</v>
      </c>
      <c r="N7" t="s">
        <v>62</v>
      </c>
      <c r="O7" t="s">
        <v>63</v>
      </c>
      <c r="P7" t="s">
        <v>64</v>
      </c>
    </row>
    <row r="8" spans="1:16" x14ac:dyDescent="0.3">
      <c r="A8" s="6">
        <v>45</v>
      </c>
      <c r="B8" s="6">
        <v>1</v>
      </c>
      <c r="C8" s="6" t="s">
        <v>0</v>
      </c>
      <c r="D8" s="6" t="str">
        <f>"RTM"&amp;B8&amp;"C"&amp;A8</f>
        <v>RTM1C45</v>
      </c>
      <c r="E8" s="6" t="str">
        <f>"RTM"&amp;B8&amp;"P"&amp;A8</f>
        <v>RTM1P45</v>
      </c>
      <c r="F8" s="6" t="str">
        <f>Database!G3</f>
        <v>RTM|LAST</v>
      </c>
      <c r="G8" s="6" t="str">
        <f>VLOOKUP(D8,Database!$A:$I,7,0)</f>
        <v>RTM1C45|LAST</v>
      </c>
      <c r="H8" s="6" t="str">
        <f>VLOOKUP(E8,Database!$A:$I,7,0)</f>
        <v>RTM1P45|LAST</v>
      </c>
      <c r="I8" s="6" t="e">
        <f>G8-H8</f>
        <v>#VALUE!</v>
      </c>
      <c r="J8" s="6" t="e">
        <f>F8-I8</f>
        <v>#VALUE!</v>
      </c>
      <c r="K8" s="7">
        <f>IF(B8&gt;=$B$5,J8-A8,0)</f>
        <v>0</v>
      </c>
      <c r="L8" s="6">
        <f>IF(ABS(K8)&gt;$L$6,-SIGN(K8),0)</f>
        <v>0</v>
      </c>
      <c r="M8" s="6">
        <v>0</v>
      </c>
      <c r="N8" s="8">
        <v>1000</v>
      </c>
      <c r="O8" s="8">
        <v>100</v>
      </c>
      <c r="P8" s="8">
        <v>100</v>
      </c>
    </row>
    <row r="9" spans="1:16" x14ac:dyDescent="0.3">
      <c r="A9" s="6">
        <v>46</v>
      </c>
      <c r="B9" s="6">
        <v>1</v>
      </c>
      <c r="C9" s="6" t="s">
        <v>0</v>
      </c>
      <c r="D9" s="6" t="str">
        <f t="shared" ref="D9:D27" si="0">"RTM"&amp;B9&amp;"C"&amp;A9</f>
        <v>RTM1C46</v>
      </c>
      <c r="E9" s="6" t="str">
        <f t="shared" ref="E9:E27" si="1">"RTM"&amp;B9&amp;"P"&amp;A9</f>
        <v>RTM1P46</v>
      </c>
      <c r="F9" s="6" t="str">
        <f>F8</f>
        <v>RTM|LAST</v>
      </c>
      <c r="G9" s="6" t="str">
        <f>VLOOKUP(D9,Database!$A:$I,7,0)</f>
        <v>RTM1C46|LAST</v>
      </c>
      <c r="H9" s="6" t="str">
        <f>VLOOKUP(E9,Database!$A:$I,7,0)</f>
        <v>RTM1P46|LAST</v>
      </c>
      <c r="I9" s="6" t="e">
        <f t="shared" ref="I9:I27" si="2">G9-H9</f>
        <v>#VALUE!</v>
      </c>
      <c r="J9" s="6" t="e">
        <f t="shared" ref="J9:J27" si="3">F9-I9</f>
        <v>#VALUE!</v>
      </c>
      <c r="K9" s="7">
        <f t="shared" ref="K9:K27" si="4">IF(B9&gt;=$B$5,J9-A9,0)</f>
        <v>0</v>
      </c>
      <c r="L9" s="6">
        <f t="shared" ref="L9:L27" si="5">IF(ABS(K9)&gt;$L$6,-SIGN(K9),0)</f>
        <v>0</v>
      </c>
      <c r="M9" s="6">
        <v>0</v>
      </c>
      <c r="N9" s="6">
        <f>N8</f>
        <v>1000</v>
      </c>
      <c r="O9" s="6">
        <f t="shared" ref="O9:P24" si="6">O8</f>
        <v>100</v>
      </c>
      <c r="P9" s="6">
        <f t="shared" si="6"/>
        <v>100</v>
      </c>
    </row>
    <row r="10" spans="1:16" x14ac:dyDescent="0.3">
      <c r="A10" s="6">
        <v>47</v>
      </c>
      <c r="B10" s="6">
        <v>1</v>
      </c>
      <c r="C10" s="6" t="s">
        <v>0</v>
      </c>
      <c r="D10" s="6" t="str">
        <f t="shared" si="0"/>
        <v>RTM1C47</v>
      </c>
      <c r="E10" s="6" t="str">
        <f t="shared" si="1"/>
        <v>RTM1P47</v>
      </c>
      <c r="F10" s="6" t="str">
        <f t="shared" ref="F10:F47" si="7">F9</f>
        <v>RTM|LAST</v>
      </c>
      <c r="G10" s="6" t="str">
        <f>VLOOKUP(D10,Database!$A:$I,7,0)</f>
        <v>RTM1C47|LAST</v>
      </c>
      <c r="H10" s="6" t="str">
        <f>VLOOKUP(E10,Database!$A:$I,7,0)</f>
        <v>RTM1P47|LAST</v>
      </c>
      <c r="I10" s="6" t="e">
        <f t="shared" si="2"/>
        <v>#VALUE!</v>
      </c>
      <c r="J10" s="6" t="e">
        <f t="shared" si="3"/>
        <v>#VALUE!</v>
      </c>
      <c r="K10" s="7">
        <f t="shared" si="4"/>
        <v>0</v>
      </c>
      <c r="L10" s="6">
        <f t="shared" si="5"/>
        <v>0</v>
      </c>
      <c r="M10" s="6">
        <v>0</v>
      </c>
      <c r="N10" s="6">
        <f t="shared" ref="N10:N27" si="8">N9</f>
        <v>1000</v>
      </c>
      <c r="O10" s="6">
        <f t="shared" si="6"/>
        <v>100</v>
      </c>
      <c r="P10" s="6">
        <f t="shared" si="6"/>
        <v>100</v>
      </c>
    </row>
    <row r="11" spans="1:16" x14ac:dyDescent="0.3">
      <c r="A11" s="6">
        <v>48</v>
      </c>
      <c r="B11" s="6">
        <v>1</v>
      </c>
      <c r="C11" s="6" t="s">
        <v>0</v>
      </c>
      <c r="D11" s="6" t="str">
        <f t="shared" si="0"/>
        <v>RTM1C48</v>
      </c>
      <c r="E11" s="6" t="str">
        <f t="shared" si="1"/>
        <v>RTM1P48</v>
      </c>
      <c r="F11" s="6" t="str">
        <f t="shared" si="7"/>
        <v>RTM|LAST</v>
      </c>
      <c r="G11" s="6" t="str">
        <f>VLOOKUP(D11,Database!$A:$I,7,0)</f>
        <v>RTM1C48|LAST</v>
      </c>
      <c r="H11" s="6" t="str">
        <f>VLOOKUP(E11,Database!$A:$I,7,0)</f>
        <v>RTM1P48|LAST</v>
      </c>
      <c r="I11" s="6" t="e">
        <f t="shared" si="2"/>
        <v>#VALUE!</v>
      </c>
      <c r="J11" s="6" t="e">
        <f t="shared" si="3"/>
        <v>#VALUE!</v>
      </c>
      <c r="K11" s="7">
        <f t="shared" si="4"/>
        <v>0</v>
      </c>
      <c r="L11" s="6">
        <f t="shared" si="5"/>
        <v>0</v>
      </c>
      <c r="M11" s="6">
        <v>0</v>
      </c>
      <c r="N11" s="6">
        <f t="shared" si="8"/>
        <v>1000</v>
      </c>
      <c r="O11" s="6">
        <f t="shared" si="6"/>
        <v>100</v>
      </c>
      <c r="P11" s="6">
        <f t="shared" si="6"/>
        <v>100</v>
      </c>
    </row>
    <row r="12" spans="1:16" x14ac:dyDescent="0.3">
      <c r="A12" s="6">
        <v>49</v>
      </c>
      <c r="B12" s="6">
        <v>1</v>
      </c>
      <c r="C12" s="6" t="s">
        <v>0</v>
      </c>
      <c r="D12" s="6" t="str">
        <f t="shared" si="0"/>
        <v>RTM1C49</v>
      </c>
      <c r="E12" s="6" t="str">
        <f t="shared" si="1"/>
        <v>RTM1P49</v>
      </c>
      <c r="F12" s="6" t="str">
        <f t="shared" si="7"/>
        <v>RTM|LAST</v>
      </c>
      <c r="G12" s="6" t="str">
        <f>VLOOKUP(D12,Database!$A:$I,7,0)</f>
        <v>RTM1C49|LAST</v>
      </c>
      <c r="H12" s="6" t="str">
        <f>VLOOKUP(E12,Database!$A:$I,7,0)</f>
        <v>RTM1P49|LAST</v>
      </c>
      <c r="I12" s="6" t="e">
        <f t="shared" si="2"/>
        <v>#VALUE!</v>
      </c>
      <c r="J12" s="6" t="e">
        <f t="shared" si="3"/>
        <v>#VALUE!</v>
      </c>
      <c r="K12" s="7">
        <f t="shared" si="4"/>
        <v>0</v>
      </c>
      <c r="L12" s="6">
        <f t="shared" si="5"/>
        <v>0</v>
      </c>
      <c r="M12" s="6">
        <v>0</v>
      </c>
      <c r="N12" s="6">
        <f t="shared" si="8"/>
        <v>1000</v>
      </c>
      <c r="O12" s="6">
        <f t="shared" si="6"/>
        <v>100</v>
      </c>
      <c r="P12" s="6">
        <f t="shared" si="6"/>
        <v>100</v>
      </c>
    </row>
    <row r="13" spans="1:16" x14ac:dyDescent="0.3">
      <c r="A13" s="6">
        <v>50</v>
      </c>
      <c r="B13" s="6">
        <v>1</v>
      </c>
      <c r="C13" s="6" t="s">
        <v>0</v>
      </c>
      <c r="D13" s="6" t="str">
        <f t="shared" si="0"/>
        <v>RTM1C50</v>
      </c>
      <c r="E13" s="6" t="str">
        <f t="shared" si="1"/>
        <v>RTM1P50</v>
      </c>
      <c r="F13" s="6" t="str">
        <f t="shared" si="7"/>
        <v>RTM|LAST</v>
      </c>
      <c r="G13" s="6" t="str">
        <f>VLOOKUP(D13,Database!$A:$I,7,0)</f>
        <v>RTM1C50|LAST</v>
      </c>
      <c r="H13" s="6" t="str">
        <f>VLOOKUP(E13,Database!$A:$I,7,0)</f>
        <v>RTM1P50|LAST</v>
      </c>
      <c r="I13" s="6" t="e">
        <f t="shared" si="2"/>
        <v>#VALUE!</v>
      </c>
      <c r="J13" s="6" t="e">
        <f t="shared" si="3"/>
        <v>#VALUE!</v>
      </c>
      <c r="K13" s="7">
        <f t="shared" si="4"/>
        <v>0</v>
      </c>
      <c r="L13" s="6">
        <f t="shared" si="5"/>
        <v>0</v>
      </c>
      <c r="M13" s="6">
        <v>0</v>
      </c>
      <c r="N13" s="6">
        <f t="shared" si="8"/>
        <v>1000</v>
      </c>
      <c r="O13" s="6">
        <f t="shared" si="6"/>
        <v>100</v>
      </c>
      <c r="P13" s="6">
        <f t="shared" si="6"/>
        <v>100</v>
      </c>
    </row>
    <row r="14" spans="1:16" x14ac:dyDescent="0.3">
      <c r="A14" s="6">
        <v>51</v>
      </c>
      <c r="B14" s="6">
        <v>1</v>
      </c>
      <c r="C14" s="6" t="s">
        <v>0</v>
      </c>
      <c r="D14" s="6" t="str">
        <f t="shared" si="0"/>
        <v>RTM1C51</v>
      </c>
      <c r="E14" s="6" t="str">
        <f t="shared" si="1"/>
        <v>RTM1P51</v>
      </c>
      <c r="F14" s="6" t="str">
        <f t="shared" si="7"/>
        <v>RTM|LAST</v>
      </c>
      <c r="G14" s="6" t="str">
        <f>VLOOKUP(D14,Database!$A:$I,7,0)</f>
        <v>RTM1C51|LAST</v>
      </c>
      <c r="H14" s="6" t="str">
        <f>VLOOKUP(E14,Database!$A:$I,7,0)</f>
        <v>RTM1P51|LAST</v>
      </c>
      <c r="I14" s="6" t="e">
        <f t="shared" si="2"/>
        <v>#VALUE!</v>
      </c>
      <c r="J14" s="6" t="e">
        <f t="shared" si="3"/>
        <v>#VALUE!</v>
      </c>
      <c r="K14" s="7">
        <f t="shared" si="4"/>
        <v>0</v>
      </c>
      <c r="L14" s="6">
        <f t="shared" si="5"/>
        <v>0</v>
      </c>
      <c r="M14" s="6">
        <v>0</v>
      </c>
      <c r="N14" s="6">
        <f t="shared" si="8"/>
        <v>1000</v>
      </c>
      <c r="O14" s="6">
        <f t="shared" si="6"/>
        <v>100</v>
      </c>
      <c r="P14" s="6">
        <f t="shared" si="6"/>
        <v>100</v>
      </c>
    </row>
    <row r="15" spans="1:16" x14ac:dyDescent="0.3">
      <c r="A15" s="6">
        <v>52</v>
      </c>
      <c r="B15" s="6">
        <v>1</v>
      </c>
      <c r="C15" s="6" t="s">
        <v>0</v>
      </c>
      <c r="D15" s="6" t="str">
        <f t="shared" si="0"/>
        <v>RTM1C52</v>
      </c>
      <c r="E15" s="6" t="str">
        <f t="shared" si="1"/>
        <v>RTM1P52</v>
      </c>
      <c r="F15" s="6" t="str">
        <f t="shared" si="7"/>
        <v>RTM|LAST</v>
      </c>
      <c r="G15" s="6" t="str">
        <f>VLOOKUP(D15,Database!$A:$I,7,0)</f>
        <v>RTM1C52|LAST</v>
      </c>
      <c r="H15" s="6" t="str">
        <f>VLOOKUP(E15,Database!$A:$I,7,0)</f>
        <v>RTM1P52|LAST</v>
      </c>
      <c r="I15" s="6" t="e">
        <f t="shared" si="2"/>
        <v>#VALUE!</v>
      </c>
      <c r="J15" s="6" t="e">
        <f t="shared" si="3"/>
        <v>#VALUE!</v>
      </c>
      <c r="K15" s="7">
        <f t="shared" si="4"/>
        <v>0</v>
      </c>
      <c r="L15" s="6">
        <f t="shared" si="5"/>
        <v>0</v>
      </c>
      <c r="M15" s="6">
        <v>0</v>
      </c>
      <c r="N15" s="6">
        <f t="shared" si="8"/>
        <v>1000</v>
      </c>
      <c r="O15" s="6">
        <f t="shared" si="6"/>
        <v>100</v>
      </c>
      <c r="P15" s="6">
        <f t="shared" si="6"/>
        <v>100</v>
      </c>
    </row>
    <row r="16" spans="1:16" x14ac:dyDescent="0.3">
      <c r="A16" s="6">
        <v>53</v>
      </c>
      <c r="B16" s="6">
        <v>1</v>
      </c>
      <c r="C16" s="6" t="s">
        <v>0</v>
      </c>
      <c r="D16" s="6" t="str">
        <f t="shared" si="0"/>
        <v>RTM1C53</v>
      </c>
      <c r="E16" s="6" t="str">
        <f t="shared" si="1"/>
        <v>RTM1P53</v>
      </c>
      <c r="F16" s="6" t="str">
        <f t="shared" si="7"/>
        <v>RTM|LAST</v>
      </c>
      <c r="G16" s="6" t="str">
        <f>VLOOKUP(D16,Database!$A:$I,7,0)</f>
        <v>RTM1C53|LAST</v>
      </c>
      <c r="H16" s="6" t="str">
        <f>VLOOKUP(E16,Database!$A:$I,7,0)</f>
        <v>RTM1P53|LAST</v>
      </c>
      <c r="I16" s="6" t="e">
        <f t="shared" si="2"/>
        <v>#VALUE!</v>
      </c>
      <c r="J16" s="6" t="e">
        <f t="shared" si="3"/>
        <v>#VALUE!</v>
      </c>
      <c r="K16" s="7">
        <f t="shared" si="4"/>
        <v>0</v>
      </c>
      <c r="L16" s="6">
        <f t="shared" si="5"/>
        <v>0</v>
      </c>
      <c r="M16" s="6">
        <v>0</v>
      </c>
      <c r="N16" s="6">
        <f t="shared" si="8"/>
        <v>1000</v>
      </c>
      <c r="O16" s="6">
        <f t="shared" si="6"/>
        <v>100</v>
      </c>
      <c r="P16" s="6">
        <f t="shared" si="6"/>
        <v>100</v>
      </c>
    </row>
    <row r="17" spans="1:16" x14ac:dyDescent="0.3">
      <c r="A17" s="6">
        <v>54</v>
      </c>
      <c r="B17" s="6">
        <v>1</v>
      </c>
      <c r="C17" s="6" t="s">
        <v>0</v>
      </c>
      <c r="D17" s="6" t="str">
        <f t="shared" si="0"/>
        <v>RTM1C54</v>
      </c>
      <c r="E17" s="6" t="str">
        <f t="shared" si="1"/>
        <v>RTM1P54</v>
      </c>
      <c r="F17" s="6" t="str">
        <f t="shared" si="7"/>
        <v>RTM|LAST</v>
      </c>
      <c r="G17" s="6" t="str">
        <f>VLOOKUP(D17,Database!$A:$I,7,0)</f>
        <v>RTM1C54|LAST</v>
      </c>
      <c r="H17" s="6" t="str">
        <f>VLOOKUP(E17,Database!$A:$I,7,0)</f>
        <v>RTM1P54|LAST</v>
      </c>
      <c r="I17" s="6" t="e">
        <f t="shared" si="2"/>
        <v>#VALUE!</v>
      </c>
      <c r="J17" s="6" t="e">
        <f t="shared" si="3"/>
        <v>#VALUE!</v>
      </c>
      <c r="K17" s="7">
        <f t="shared" si="4"/>
        <v>0</v>
      </c>
      <c r="L17" s="6">
        <f t="shared" si="5"/>
        <v>0</v>
      </c>
      <c r="M17" s="6">
        <v>0</v>
      </c>
      <c r="N17" s="6">
        <f t="shared" si="8"/>
        <v>1000</v>
      </c>
      <c r="O17" s="6">
        <f t="shared" si="6"/>
        <v>100</v>
      </c>
      <c r="P17" s="6">
        <f t="shared" si="6"/>
        <v>100</v>
      </c>
    </row>
    <row r="18" spans="1:16" x14ac:dyDescent="0.3">
      <c r="A18" s="6">
        <v>45</v>
      </c>
      <c r="B18" s="6">
        <v>2</v>
      </c>
      <c r="C18" s="6" t="s">
        <v>0</v>
      </c>
      <c r="D18" s="6" t="str">
        <f t="shared" si="0"/>
        <v>RTM2C45</v>
      </c>
      <c r="E18" s="6" t="str">
        <f t="shared" si="1"/>
        <v>RTM2P45</v>
      </c>
      <c r="F18" s="6" t="str">
        <f t="shared" si="7"/>
        <v>RTM|LAST</v>
      </c>
      <c r="G18" s="6" t="str">
        <f>VLOOKUP(D18,Database!$A:$I,7,0)</f>
        <v>RTM2C45|LAST</v>
      </c>
      <c r="H18" s="6" t="str">
        <f>VLOOKUP(E18,Database!$A:$I,7,0)</f>
        <v>RTM2P45|LAST</v>
      </c>
      <c r="I18" s="6" t="e">
        <f t="shared" si="2"/>
        <v>#VALUE!</v>
      </c>
      <c r="J18" s="6" t="e">
        <f t="shared" si="3"/>
        <v>#VALUE!</v>
      </c>
      <c r="K18" s="7">
        <f t="shared" si="4"/>
        <v>0</v>
      </c>
      <c r="L18" s="6">
        <f t="shared" si="5"/>
        <v>0</v>
      </c>
      <c r="M18" s="6">
        <v>0</v>
      </c>
      <c r="N18" s="6">
        <f t="shared" si="8"/>
        <v>1000</v>
      </c>
      <c r="O18" s="6">
        <f t="shared" si="6"/>
        <v>100</v>
      </c>
      <c r="P18" s="6">
        <f t="shared" si="6"/>
        <v>100</v>
      </c>
    </row>
    <row r="19" spans="1:16" x14ac:dyDescent="0.3">
      <c r="A19" s="6">
        <v>46</v>
      </c>
      <c r="B19" s="6">
        <v>2</v>
      </c>
      <c r="C19" s="6" t="s">
        <v>0</v>
      </c>
      <c r="D19" s="6" t="str">
        <f t="shared" si="0"/>
        <v>RTM2C46</v>
      </c>
      <c r="E19" s="6" t="str">
        <f t="shared" si="1"/>
        <v>RTM2P46</v>
      </c>
      <c r="F19" s="6" t="str">
        <f t="shared" si="7"/>
        <v>RTM|LAST</v>
      </c>
      <c r="G19" s="6" t="str">
        <f>VLOOKUP(D19,Database!$A:$I,7,0)</f>
        <v>RTM2C46|LAST</v>
      </c>
      <c r="H19" s="6" t="str">
        <f>VLOOKUP(E19,Database!$A:$I,7,0)</f>
        <v>RTM2P46|LAST</v>
      </c>
      <c r="I19" s="6" t="e">
        <f t="shared" si="2"/>
        <v>#VALUE!</v>
      </c>
      <c r="J19" s="6" t="e">
        <f t="shared" si="3"/>
        <v>#VALUE!</v>
      </c>
      <c r="K19" s="7">
        <f t="shared" si="4"/>
        <v>0</v>
      </c>
      <c r="L19" s="6">
        <f t="shared" si="5"/>
        <v>0</v>
      </c>
      <c r="M19" s="6">
        <v>0</v>
      </c>
      <c r="N19" s="6">
        <f t="shared" si="8"/>
        <v>1000</v>
      </c>
      <c r="O19" s="6">
        <f t="shared" si="6"/>
        <v>100</v>
      </c>
      <c r="P19" s="6">
        <f t="shared" si="6"/>
        <v>100</v>
      </c>
    </row>
    <row r="20" spans="1:16" x14ac:dyDescent="0.3">
      <c r="A20" s="6">
        <v>47</v>
      </c>
      <c r="B20" s="6">
        <v>2</v>
      </c>
      <c r="C20" s="6" t="s">
        <v>0</v>
      </c>
      <c r="D20" s="6" t="str">
        <f t="shared" si="0"/>
        <v>RTM2C47</v>
      </c>
      <c r="E20" s="6" t="str">
        <f t="shared" si="1"/>
        <v>RTM2P47</v>
      </c>
      <c r="F20" s="6" t="str">
        <f t="shared" si="7"/>
        <v>RTM|LAST</v>
      </c>
      <c r="G20" s="6" t="str">
        <f>VLOOKUP(D20,Database!$A:$I,7,0)</f>
        <v>RTM2C47|LAST</v>
      </c>
      <c r="H20" s="6" t="str">
        <f>VLOOKUP(E20,Database!$A:$I,7,0)</f>
        <v>RTM2P47|LAST</v>
      </c>
      <c r="I20" s="6" t="e">
        <f t="shared" si="2"/>
        <v>#VALUE!</v>
      </c>
      <c r="J20" s="6" t="e">
        <f t="shared" si="3"/>
        <v>#VALUE!</v>
      </c>
      <c r="K20" s="7">
        <f t="shared" si="4"/>
        <v>0</v>
      </c>
      <c r="L20" s="6">
        <f t="shared" si="5"/>
        <v>0</v>
      </c>
      <c r="M20" s="6">
        <v>0</v>
      </c>
      <c r="N20" s="6">
        <f t="shared" si="8"/>
        <v>1000</v>
      </c>
      <c r="O20" s="6">
        <f t="shared" si="6"/>
        <v>100</v>
      </c>
      <c r="P20" s="6">
        <f t="shared" si="6"/>
        <v>100</v>
      </c>
    </row>
    <row r="21" spans="1:16" x14ac:dyDescent="0.3">
      <c r="A21" s="6">
        <v>48</v>
      </c>
      <c r="B21" s="6">
        <v>2</v>
      </c>
      <c r="C21" s="6" t="s">
        <v>0</v>
      </c>
      <c r="D21" s="6" t="str">
        <f t="shared" si="0"/>
        <v>RTM2C48</v>
      </c>
      <c r="E21" s="6" t="str">
        <f t="shared" si="1"/>
        <v>RTM2P48</v>
      </c>
      <c r="F21" s="6" t="str">
        <f t="shared" si="7"/>
        <v>RTM|LAST</v>
      </c>
      <c r="G21" s="6" t="str">
        <f>VLOOKUP(D21,Database!$A:$I,7,0)</f>
        <v>RTM2C48|LAST</v>
      </c>
      <c r="H21" s="6" t="str">
        <f>VLOOKUP(E21,Database!$A:$I,7,0)</f>
        <v>RTM2P48|LAST</v>
      </c>
      <c r="I21" s="6" t="e">
        <f t="shared" si="2"/>
        <v>#VALUE!</v>
      </c>
      <c r="J21" s="6" t="e">
        <f t="shared" si="3"/>
        <v>#VALUE!</v>
      </c>
      <c r="K21" s="7">
        <f t="shared" si="4"/>
        <v>0</v>
      </c>
      <c r="L21" s="6">
        <f t="shared" si="5"/>
        <v>0</v>
      </c>
      <c r="M21" s="6">
        <v>0</v>
      </c>
      <c r="N21" s="6">
        <f t="shared" si="8"/>
        <v>1000</v>
      </c>
      <c r="O21" s="6">
        <f t="shared" si="6"/>
        <v>100</v>
      </c>
      <c r="P21" s="6">
        <f t="shared" si="6"/>
        <v>100</v>
      </c>
    </row>
    <row r="22" spans="1:16" x14ac:dyDescent="0.3">
      <c r="A22" s="6">
        <v>49</v>
      </c>
      <c r="B22" s="6">
        <v>2</v>
      </c>
      <c r="C22" s="6" t="s">
        <v>0</v>
      </c>
      <c r="D22" s="6" t="str">
        <f t="shared" si="0"/>
        <v>RTM2C49</v>
      </c>
      <c r="E22" s="6" t="str">
        <f t="shared" si="1"/>
        <v>RTM2P49</v>
      </c>
      <c r="F22" s="6" t="str">
        <f t="shared" si="7"/>
        <v>RTM|LAST</v>
      </c>
      <c r="G22" s="6" t="str">
        <f>VLOOKUP(D22,Database!$A:$I,7,0)</f>
        <v>RTM2C49|LAST</v>
      </c>
      <c r="H22" s="6" t="str">
        <f>VLOOKUP(E22,Database!$A:$I,7,0)</f>
        <v>RTM2P49|LAST</v>
      </c>
      <c r="I22" s="6" t="e">
        <f t="shared" si="2"/>
        <v>#VALUE!</v>
      </c>
      <c r="J22" s="6" t="e">
        <f t="shared" si="3"/>
        <v>#VALUE!</v>
      </c>
      <c r="K22" s="7">
        <f t="shared" si="4"/>
        <v>0</v>
      </c>
      <c r="L22" s="6">
        <f t="shared" si="5"/>
        <v>0</v>
      </c>
      <c r="M22" s="6">
        <v>0</v>
      </c>
      <c r="N22" s="6">
        <f t="shared" si="8"/>
        <v>1000</v>
      </c>
      <c r="O22" s="6">
        <f t="shared" si="6"/>
        <v>100</v>
      </c>
      <c r="P22" s="6">
        <f t="shared" si="6"/>
        <v>100</v>
      </c>
    </row>
    <row r="23" spans="1:16" x14ac:dyDescent="0.3">
      <c r="A23" s="6">
        <v>50</v>
      </c>
      <c r="B23" s="6">
        <v>2</v>
      </c>
      <c r="C23" s="6" t="s">
        <v>0</v>
      </c>
      <c r="D23" s="6" t="str">
        <f t="shared" si="0"/>
        <v>RTM2C50</v>
      </c>
      <c r="E23" s="6" t="str">
        <f t="shared" si="1"/>
        <v>RTM2P50</v>
      </c>
      <c r="F23" s="6" t="str">
        <f t="shared" si="7"/>
        <v>RTM|LAST</v>
      </c>
      <c r="G23" s="6" t="str">
        <f>VLOOKUP(D23,Database!$A:$I,7,0)</f>
        <v>RTM2C50|LAST</v>
      </c>
      <c r="H23" s="6" t="str">
        <f>VLOOKUP(E23,Database!$A:$I,7,0)</f>
        <v>RTM2P50|LAST</v>
      </c>
      <c r="I23" s="6" t="e">
        <f t="shared" si="2"/>
        <v>#VALUE!</v>
      </c>
      <c r="J23" s="6" t="e">
        <f t="shared" si="3"/>
        <v>#VALUE!</v>
      </c>
      <c r="K23" s="7">
        <f t="shared" si="4"/>
        <v>0</v>
      </c>
      <c r="L23" s="6">
        <f t="shared" si="5"/>
        <v>0</v>
      </c>
      <c r="M23" s="6">
        <v>0</v>
      </c>
      <c r="N23" s="6">
        <f t="shared" si="8"/>
        <v>1000</v>
      </c>
      <c r="O23" s="6">
        <f t="shared" si="6"/>
        <v>100</v>
      </c>
      <c r="P23" s="6">
        <f t="shared" si="6"/>
        <v>100</v>
      </c>
    </row>
    <row r="24" spans="1:16" x14ac:dyDescent="0.3">
      <c r="A24" s="6">
        <v>51</v>
      </c>
      <c r="B24" s="6">
        <v>2</v>
      </c>
      <c r="C24" s="6" t="s">
        <v>0</v>
      </c>
      <c r="D24" s="6" t="str">
        <f t="shared" si="0"/>
        <v>RTM2C51</v>
      </c>
      <c r="E24" s="6" t="str">
        <f t="shared" si="1"/>
        <v>RTM2P51</v>
      </c>
      <c r="F24" s="6" t="str">
        <f t="shared" si="7"/>
        <v>RTM|LAST</v>
      </c>
      <c r="G24" s="6" t="str">
        <f>VLOOKUP(D24,Database!$A:$I,7,0)</f>
        <v>RTM2C51|LAST</v>
      </c>
      <c r="H24" s="6" t="str">
        <f>VLOOKUP(E24,Database!$A:$I,7,0)</f>
        <v>RTM2P51|LAST</v>
      </c>
      <c r="I24" s="6" t="e">
        <f t="shared" si="2"/>
        <v>#VALUE!</v>
      </c>
      <c r="J24" s="6" t="e">
        <f t="shared" si="3"/>
        <v>#VALUE!</v>
      </c>
      <c r="K24" s="7">
        <f t="shared" si="4"/>
        <v>0</v>
      </c>
      <c r="L24" s="6">
        <f t="shared" si="5"/>
        <v>0</v>
      </c>
      <c r="M24" s="6">
        <v>0</v>
      </c>
      <c r="N24" s="6">
        <f t="shared" si="8"/>
        <v>1000</v>
      </c>
      <c r="O24" s="6">
        <f t="shared" si="6"/>
        <v>100</v>
      </c>
      <c r="P24" s="6">
        <f t="shared" si="6"/>
        <v>100</v>
      </c>
    </row>
    <row r="25" spans="1:16" x14ac:dyDescent="0.3">
      <c r="A25" s="6">
        <v>52</v>
      </c>
      <c r="B25" s="6">
        <v>2</v>
      </c>
      <c r="C25" s="6" t="s">
        <v>0</v>
      </c>
      <c r="D25" s="6" t="str">
        <f t="shared" si="0"/>
        <v>RTM2C52</v>
      </c>
      <c r="E25" s="6" t="str">
        <f t="shared" si="1"/>
        <v>RTM2P52</v>
      </c>
      <c r="F25" s="6" t="str">
        <f t="shared" si="7"/>
        <v>RTM|LAST</v>
      </c>
      <c r="G25" s="6" t="str">
        <f>VLOOKUP(D25,Database!$A:$I,7,0)</f>
        <v>RTM2C52|LAST</v>
      </c>
      <c r="H25" s="6" t="str">
        <f>VLOOKUP(E25,Database!$A:$I,7,0)</f>
        <v>RTM2P52|LAST</v>
      </c>
      <c r="I25" s="6" t="e">
        <f t="shared" si="2"/>
        <v>#VALUE!</v>
      </c>
      <c r="J25" s="6" t="e">
        <f t="shared" si="3"/>
        <v>#VALUE!</v>
      </c>
      <c r="K25" s="7">
        <f t="shared" si="4"/>
        <v>0</v>
      </c>
      <c r="L25" s="6">
        <f t="shared" si="5"/>
        <v>0</v>
      </c>
      <c r="M25" s="6">
        <v>0</v>
      </c>
      <c r="N25" s="6">
        <f t="shared" si="8"/>
        <v>1000</v>
      </c>
      <c r="O25" s="6">
        <f t="shared" ref="O25:O27" si="9">O24</f>
        <v>100</v>
      </c>
      <c r="P25" s="6">
        <f t="shared" ref="P25:P27" si="10">P24</f>
        <v>100</v>
      </c>
    </row>
    <row r="26" spans="1:16" x14ac:dyDescent="0.3">
      <c r="A26" s="6">
        <v>53</v>
      </c>
      <c r="B26" s="6">
        <v>2</v>
      </c>
      <c r="C26" s="6" t="s">
        <v>0</v>
      </c>
      <c r="D26" s="6" t="str">
        <f t="shared" si="0"/>
        <v>RTM2C53</v>
      </c>
      <c r="E26" s="6" t="str">
        <f t="shared" si="1"/>
        <v>RTM2P53</v>
      </c>
      <c r="F26" s="6" t="str">
        <f t="shared" si="7"/>
        <v>RTM|LAST</v>
      </c>
      <c r="G26" s="6" t="str">
        <f>VLOOKUP(D26,Database!$A:$I,7,0)</f>
        <v>RTM2C53|LAST</v>
      </c>
      <c r="H26" s="6" t="str">
        <f>VLOOKUP(E26,Database!$A:$I,7,0)</f>
        <v>RTM2P53|LAST</v>
      </c>
      <c r="I26" s="6" t="e">
        <f t="shared" si="2"/>
        <v>#VALUE!</v>
      </c>
      <c r="J26" s="6" t="e">
        <f t="shared" si="3"/>
        <v>#VALUE!</v>
      </c>
      <c r="K26" s="7">
        <f t="shared" si="4"/>
        <v>0</v>
      </c>
      <c r="L26" s="6">
        <f t="shared" si="5"/>
        <v>0</v>
      </c>
      <c r="M26" s="6">
        <v>0</v>
      </c>
      <c r="N26" s="6">
        <f t="shared" si="8"/>
        <v>1000</v>
      </c>
      <c r="O26" s="6">
        <f t="shared" si="9"/>
        <v>100</v>
      </c>
      <c r="P26" s="6">
        <f t="shared" si="10"/>
        <v>100</v>
      </c>
    </row>
    <row r="27" spans="1:16" x14ac:dyDescent="0.3">
      <c r="A27" s="6">
        <v>54</v>
      </c>
      <c r="B27" s="6">
        <v>2</v>
      </c>
      <c r="C27" s="6" t="s">
        <v>0</v>
      </c>
      <c r="D27" s="6" t="str">
        <f t="shared" si="0"/>
        <v>RTM2C54</v>
      </c>
      <c r="E27" s="6" t="str">
        <f t="shared" si="1"/>
        <v>RTM2P54</v>
      </c>
      <c r="F27" s="6" t="str">
        <f t="shared" si="7"/>
        <v>RTM|LAST</v>
      </c>
      <c r="G27" s="6" t="str">
        <f>VLOOKUP(D27,Database!$A:$I,7,0)</f>
        <v>RTM2C54|LAST</v>
      </c>
      <c r="H27" s="6" t="str">
        <f>VLOOKUP(E27,Database!$A:$I,7,0)</f>
        <v>RTM2P54|LAST</v>
      </c>
      <c r="I27" s="6" t="e">
        <f t="shared" si="2"/>
        <v>#VALUE!</v>
      </c>
      <c r="J27" s="6" t="e">
        <f t="shared" si="3"/>
        <v>#VALUE!</v>
      </c>
      <c r="K27" s="7">
        <f t="shared" si="4"/>
        <v>0</v>
      </c>
      <c r="L27" s="6">
        <f t="shared" si="5"/>
        <v>0</v>
      </c>
      <c r="M27" s="6">
        <v>0</v>
      </c>
      <c r="N27" s="6">
        <f t="shared" si="8"/>
        <v>1000</v>
      </c>
      <c r="O27" s="6">
        <f t="shared" si="9"/>
        <v>100</v>
      </c>
      <c r="P27" s="6">
        <f t="shared" si="10"/>
        <v>100</v>
      </c>
    </row>
    <row r="28" spans="1:16" x14ac:dyDescent="0.3">
      <c r="A28" s="4">
        <v>45</v>
      </c>
      <c r="B28" s="4" t="s">
        <v>61</v>
      </c>
      <c r="C28" s="4" t="s">
        <v>1</v>
      </c>
      <c r="D28" s="4" t="s">
        <v>21</v>
      </c>
      <c r="E28" s="4" t="s">
        <v>0</v>
      </c>
      <c r="F28" s="4" t="str">
        <f>VLOOKUP(C28,Database!$A:$I,7,0)</f>
        <v>RTM1C45|LAST</v>
      </c>
      <c r="G28" s="4" t="str">
        <f>VLOOKUP(D28,Database!$A:$I,7,0)</f>
        <v>RTM2C45|LAST</v>
      </c>
      <c r="H28" s="4" t="str">
        <f>VLOOKUP(E28,Database!$A:$I,7,0)</f>
        <v>RTM|LAST</v>
      </c>
      <c r="I28" s="4" t="e">
        <f>F28-G28</f>
        <v>#VALUE!</v>
      </c>
      <c r="J28" s="4">
        <v>0</v>
      </c>
      <c r="K28" s="5" t="e">
        <f>I28-J28</f>
        <v>#VALUE!</v>
      </c>
      <c r="L28" s="4" t="e">
        <f t="shared" ref="L28:L37" si="11">IF(ABS(K28)&gt;$L$6,-SIGN(K28),0)</f>
        <v>#VALUE!</v>
      </c>
      <c r="M28" s="4">
        <v>0</v>
      </c>
      <c r="N28" s="9">
        <v>100</v>
      </c>
      <c r="O28" s="9">
        <v>100</v>
      </c>
      <c r="P28" s="9">
        <v>100</v>
      </c>
    </row>
    <row r="29" spans="1:16" x14ac:dyDescent="0.3">
      <c r="A29" s="4">
        <v>46</v>
      </c>
      <c r="B29" s="4" t="s">
        <v>61</v>
      </c>
      <c r="C29" s="4" t="s">
        <v>3</v>
      </c>
      <c r="D29" s="4" t="s">
        <v>23</v>
      </c>
      <c r="E29" s="4" t="s">
        <v>0</v>
      </c>
      <c r="F29" s="4" t="str">
        <f>VLOOKUP(C29,Database!$A:$I,7,0)</f>
        <v>RTM1C46|LAST</v>
      </c>
      <c r="G29" s="4" t="str">
        <f>VLOOKUP(D29,Database!$A:$I,7,0)</f>
        <v>RTM2C46|LAST</v>
      </c>
      <c r="H29" s="4" t="str">
        <f>VLOOKUP(E29,Database!$A:$I,7,0)</f>
        <v>RTM|LAST</v>
      </c>
      <c r="I29" s="4" t="e">
        <f t="shared" ref="I29:I47" si="12">F29-G29</f>
        <v>#VALUE!</v>
      </c>
      <c r="J29" s="4">
        <v>0</v>
      </c>
      <c r="K29" s="5" t="e">
        <f t="shared" ref="K29:K47" si="13">I29-J29</f>
        <v>#VALUE!</v>
      </c>
      <c r="L29" s="4" t="e">
        <f t="shared" si="11"/>
        <v>#VALUE!</v>
      </c>
      <c r="M29" s="4">
        <v>0</v>
      </c>
      <c r="N29" s="4">
        <f>N28</f>
        <v>100</v>
      </c>
      <c r="O29" s="4">
        <f t="shared" ref="O29:P29" si="14">O28</f>
        <v>100</v>
      </c>
      <c r="P29" s="4">
        <f t="shared" si="14"/>
        <v>100</v>
      </c>
    </row>
    <row r="30" spans="1:16" x14ac:dyDescent="0.3">
      <c r="A30" s="4">
        <v>47</v>
      </c>
      <c r="B30" s="4" t="s">
        <v>61</v>
      </c>
      <c r="C30" s="4" t="s">
        <v>5</v>
      </c>
      <c r="D30" s="4" t="s">
        <v>25</v>
      </c>
      <c r="E30" s="4" t="s">
        <v>0</v>
      </c>
      <c r="F30" s="4" t="str">
        <f>VLOOKUP(C30,Database!$A:$I,7,0)</f>
        <v>RTM1C47|LAST</v>
      </c>
      <c r="G30" s="4" t="str">
        <f>VLOOKUP(D30,Database!$A:$I,7,0)</f>
        <v>RTM2C47|LAST</v>
      </c>
      <c r="H30" s="4" t="str">
        <f>VLOOKUP(E30,Database!$A:$I,7,0)</f>
        <v>RTM|LAST</v>
      </c>
      <c r="I30" s="4" t="e">
        <f t="shared" si="12"/>
        <v>#VALUE!</v>
      </c>
      <c r="J30" s="4">
        <v>0</v>
      </c>
      <c r="K30" s="5" t="e">
        <f t="shared" si="13"/>
        <v>#VALUE!</v>
      </c>
      <c r="L30" s="4" t="e">
        <f t="shared" si="11"/>
        <v>#VALUE!</v>
      </c>
      <c r="M30" s="4">
        <v>0</v>
      </c>
      <c r="N30" s="4">
        <f t="shared" ref="N30:N37" si="15">N29</f>
        <v>100</v>
      </c>
      <c r="O30" s="4">
        <f t="shared" ref="O30:O37" si="16">O29</f>
        <v>100</v>
      </c>
      <c r="P30" s="4">
        <f t="shared" ref="P30:P37" si="17">P29</f>
        <v>100</v>
      </c>
    </row>
    <row r="31" spans="1:16" x14ac:dyDescent="0.3">
      <c r="A31" s="4">
        <v>48</v>
      </c>
      <c r="B31" s="4" t="s">
        <v>61</v>
      </c>
      <c r="C31" s="4" t="s">
        <v>7</v>
      </c>
      <c r="D31" s="4" t="s">
        <v>27</v>
      </c>
      <c r="E31" s="4" t="s">
        <v>0</v>
      </c>
      <c r="F31" s="4" t="str">
        <f>VLOOKUP(C31,Database!$A:$I,7,0)</f>
        <v>RTM1C48|LAST</v>
      </c>
      <c r="G31" s="4" t="str">
        <f>VLOOKUP(D31,Database!$A:$I,7,0)</f>
        <v>RTM2C48|LAST</v>
      </c>
      <c r="H31" s="4" t="str">
        <f>VLOOKUP(E31,Database!$A:$I,7,0)</f>
        <v>RTM|LAST</v>
      </c>
      <c r="I31" s="4" t="e">
        <f t="shared" si="12"/>
        <v>#VALUE!</v>
      </c>
      <c r="J31" s="4">
        <v>0</v>
      </c>
      <c r="K31" s="5" t="e">
        <f t="shared" si="13"/>
        <v>#VALUE!</v>
      </c>
      <c r="L31" s="4" t="e">
        <f t="shared" si="11"/>
        <v>#VALUE!</v>
      </c>
      <c r="M31" s="4">
        <v>0</v>
      </c>
      <c r="N31" s="4">
        <f t="shared" si="15"/>
        <v>100</v>
      </c>
      <c r="O31" s="4">
        <f t="shared" si="16"/>
        <v>100</v>
      </c>
      <c r="P31" s="4">
        <f t="shared" si="17"/>
        <v>100</v>
      </c>
    </row>
    <row r="32" spans="1:16" x14ac:dyDescent="0.3">
      <c r="A32" s="4">
        <v>49</v>
      </c>
      <c r="B32" s="4" t="s">
        <v>61</v>
      </c>
      <c r="C32" s="4" t="s">
        <v>9</v>
      </c>
      <c r="D32" s="4" t="s">
        <v>29</v>
      </c>
      <c r="E32" s="4" t="s">
        <v>0</v>
      </c>
      <c r="F32" s="4" t="str">
        <f>VLOOKUP(C32,Database!$A:$I,7,0)</f>
        <v>RTM1C49|LAST</v>
      </c>
      <c r="G32" s="4" t="str">
        <f>VLOOKUP(D32,Database!$A:$I,7,0)</f>
        <v>RTM2C49|LAST</v>
      </c>
      <c r="H32" s="4" t="str">
        <f>VLOOKUP(E32,Database!$A:$I,7,0)</f>
        <v>RTM|LAST</v>
      </c>
      <c r="I32" s="4" t="e">
        <f t="shared" si="12"/>
        <v>#VALUE!</v>
      </c>
      <c r="J32" s="4">
        <v>0</v>
      </c>
      <c r="K32" s="5" t="e">
        <f t="shared" si="13"/>
        <v>#VALUE!</v>
      </c>
      <c r="L32" s="4" t="e">
        <f t="shared" si="11"/>
        <v>#VALUE!</v>
      </c>
      <c r="M32" s="4">
        <v>0</v>
      </c>
      <c r="N32" s="4">
        <f t="shared" si="15"/>
        <v>100</v>
      </c>
      <c r="O32" s="4">
        <f t="shared" si="16"/>
        <v>100</v>
      </c>
      <c r="P32" s="4">
        <f t="shared" si="17"/>
        <v>100</v>
      </c>
    </row>
    <row r="33" spans="1:16" x14ac:dyDescent="0.3">
      <c r="A33" s="4">
        <v>50</v>
      </c>
      <c r="B33" s="4" t="s">
        <v>61</v>
      </c>
      <c r="C33" s="4" t="s">
        <v>11</v>
      </c>
      <c r="D33" s="4" t="s">
        <v>31</v>
      </c>
      <c r="E33" s="4" t="s">
        <v>0</v>
      </c>
      <c r="F33" s="4" t="str">
        <f>VLOOKUP(C33,Database!$A:$I,7,0)</f>
        <v>RTM1C50|LAST</v>
      </c>
      <c r="G33" s="4" t="str">
        <f>VLOOKUP(D33,Database!$A:$I,7,0)</f>
        <v>RTM2C50|LAST</v>
      </c>
      <c r="H33" s="4" t="str">
        <f>VLOOKUP(E33,Database!$A:$I,7,0)</f>
        <v>RTM|LAST</v>
      </c>
      <c r="I33" s="4" t="e">
        <f t="shared" si="12"/>
        <v>#VALUE!</v>
      </c>
      <c r="J33" s="4">
        <v>0</v>
      </c>
      <c r="K33" s="5" t="e">
        <f t="shared" si="13"/>
        <v>#VALUE!</v>
      </c>
      <c r="L33" s="4" t="e">
        <f t="shared" si="11"/>
        <v>#VALUE!</v>
      </c>
      <c r="M33" s="4">
        <v>0</v>
      </c>
      <c r="N33" s="4">
        <f t="shared" si="15"/>
        <v>100</v>
      </c>
      <c r="O33" s="4">
        <f t="shared" si="16"/>
        <v>100</v>
      </c>
      <c r="P33" s="4">
        <f t="shared" si="17"/>
        <v>100</v>
      </c>
    </row>
    <row r="34" spans="1:16" x14ac:dyDescent="0.3">
      <c r="A34" s="4">
        <v>51</v>
      </c>
      <c r="B34" s="4" t="s">
        <v>61</v>
      </c>
      <c r="C34" s="4" t="s">
        <v>13</v>
      </c>
      <c r="D34" s="4" t="s">
        <v>33</v>
      </c>
      <c r="E34" s="4" t="s">
        <v>0</v>
      </c>
      <c r="F34" s="4" t="str">
        <f>VLOOKUP(C34,Database!$A:$I,7,0)</f>
        <v>RTM1C51|LAST</v>
      </c>
      <c r="G34" s="4" t="str">
        <f>VLOOKUP(D34,Database!$A:$I,7,0)</f>
        <v>RTM2C51|LAST</v>
      </c>
      <c r="H34" s="4" t="str">
        <f>VLOOKUP(E34,Database!$A:$I,7,0)</f>
        <v>RTM|LAST</v>
      </c>
      <c r="I34" s="4" t="e">
        <f t="shared" si="12"/>
        <v>#VALUE!</v>
      </c>
      <c r="J34" s="4">
        <v>0</v>
      </c>
      <c r="K34" s="5" t="e">
        <f t="shared" si="13"/>
        <v>#VALUE!</v>
      </c>
      <c r="L34" s="4" t="e">
        <f t="shared" si="11"/>
        <v>#VALUE!</v>
      </c>
      <c r="M34" s="4">
        <v>0</v>
      </c>
      <c r="N34" s="4">
        <f t="shared" si="15"/>
        <v>100</v>
      </c>
      <c r="O34" s="4">
        <f t="shared" si="16"/>
        <v>100</v>
      </c>
      <c r="P34" s="4">
        <f t="shared" si="17"/>
        <v>100</v>
      </c>
    </row>
    <row r="35" spans="1:16" x14ac:dyDescent="0.3">
      <c r="A35" s="4">
        <v>52</v>
      </c>
      <c r="B35" s="4" t="s">
        <v>61</v>
      </c>
      <c r="C35" s="4" t="s">
        <v>15</v>
      </c>
      <c r="D35" s="4" t="s">
        <v>35</v>
      </c>
      <c r="E35" s="4" t="s">
        <v>0</v>
      </c>
      <c r="F35" s="4" t="str">
        <f>VLOOKUP(C35,Database!$A:$I,7,0)</f>
        <v>RTM1C52|LAST</v>
      </c>
      <c r="G35" s="4" t="str">
        <f>VLOOKUP(D35,Database!$A:$I,7,0)</f>
        <v>RTM2C52|LAST</v>
      </c>
      <c r="H35" s="4" t="str">
        <f>VLOOKUP(E35,Database!$A:$I,7,0)</f>
        <v>RTM|LAST</v>
      </c>
      <c r="I35" s="4" t="e">
        <f t="shared" si="12"/>
        <v>#VALUE!</v>
      </c>
      <c r="J35" s="4">
        <v>0</v>
      </c>
      <c r="K35" s="5" t="e">
        <f t="shared" si="13"/>
        <v>#VALUE!</v>
      </c>
      <c r="L35" s="4" t="e">
        <f t="shared" si="11"/>
        <v>#VALUE!</v>
      </c>
      <c r="M35" s="4">
        <v>0</v>
      </c>
      <c r="N35" s="4">
        <f t="shared" si="15"/>
        <v>100</v>
      </c>
      <c r="O35" s="4">
        <f t="shared" si="16"/>
        <v>100</v>
      </c>
      <c r="P35" s="4">
        <f t="shared" si="17"/>
        <v>100</v>
      </c>
    </row>
    <row r="36" spans="1:16" x14ac:dyDescent="0.3">
      <c r="A36" s="4">
        <v>53</v>
      </c>
      <c r="B36" s="4" t="s">
        <v>61</v>
      </c>
      <c r="C36" s="4" t="s">
        <v>17</v>
      </c>
      <c r="D36" s="4" t="s">
        <v>37</v>
      </c>
      <c r="E36" s="4" t="s">
        <v>0</v>
      </c>
      <c r="F36" s="4" t="str">
        <f>VLOOKUP(C36,Database!$A:$I,7,0)</f>
        <v>RTM1C53|LAST</v>
      </c>
      <c r="G36" s="4" t="str">
        <f>VLOOKUP(D36,Database!$A:$I,7,0)</f>
        <v>RTM2C53|LAST</v>
      </c>
      <c r="H36" s="4" t="str">
        <f>VLOOKUP(E36,Database!$A:$I,7,0)</f>
        <v>RTM|LAST</v>
      </c>
      <c r="I36" s="4" t="e">
        <f t="shared" si="12"/>
        <v>#VALUE!</v>
      </c>
      <c r="J36" s="4">
        <v>0</v>
      </c>
      <c r="K36" s="5" t="e">
        <f t="shared" si="13"/>
        <v>#VALUE!</v>
      </c>
      <c r="L36" s="4" t="e">
        <f t="shared" si="11"/>
        <v>#VALUE!</v>
      </c>
      <c r="M36" s="4">
        <v>0</v>
      </c>
      <c r="N36" s="4">
        <f t="shared" si="15"/>
        <v>100</v>
      </c>
      <c r="O36" s="4">
        <f t="shared" si="16"/>
        <v>100</v>
      </c>
      <c r="P36" s="4">
        <f t="shared" si="17"/>
        <v>100</v>
      </c>
    </row>
    <row r="37" spans="1:16" x14ac:dyDescent="0.3">
      <c r="A37" s="4">
        <v>54</v>
      </c>
      <c r="B37" s="4" t="s">
        <v>61</v>
      </c>
      <c r="C37" s="4" t="s">
        <v>19</v>
      </c>
      <c r="D37" s="4" t="s">
        <v>39</v>
      </c>
      <c r="E37" s="4" t="s">
        <v>0</v>
      </c>
      <c r="F37" s="4" t="str">
        <f>VLOOKUP(C37,Database!$A:$I,7,0)</f>
        <v>RTM1C54|LAST</v>
      </c>
      <c r="G37" s="4" t="str">
        <f>VLOOKUP(D37,Database!$A:$I,7,0)</f>
        <v>RTM2C54|LAST</v>
      </c>
      <c r="H37" s="4" t="str">
        <f>VLOOKUP(E37,Database!$A:$I,7,0)</f>
        <v>RTM|LAST</v>
      </c>
      <c r="I37" s="4" t="e">
        <f t="shared" si="12"/>
        <v>#VALUE!</v>
      </c>
      <c r="J37" s="4">
        <v>0</v>
      </c>
      <c r="K37" s="5" t="e">
        <f t="shared" si="13"/>
        <v>#VALUE!</v>
      </c>
      <c r="L37" s="4" t="e">
        <f t="shared" si="11"/>
        <v>#VALUE!</v>
      </c>
      <c r="M37" s="4">
        <v>0</v>
      </c>
      <c r="N37" s="4">
        <f t="shared" si="15"/>
        <v>100</v>
      </c>
      <c r="O37" s="4">
        <f t="shared" si="16"/>
        <v>100</v>
      </c>
      <c r="P37" s="4">
        <f t="shared" si="17"/>
        <v>100</v>
      </c>
    </row>
    <row r="38" spans="1:16" x14ac:dyDescent="0.3">
      <c r="A38" s="10">
        <v>45</v>
      </c>
      <c r="B38" s="10" t="s">
        <v>61</v>
      </c>
      <c r="C38" s="10" t="s">
        <v>2</v>
      </c>
      <c r="D38" s="10" t="s">
        <v>22</v>
      </c>
      <c r="E38" s="10" t="s">
        <v>0</v>
      </c>
      <c r="F38" s="10" t="str">
        <f>VLOOKUP(C38,Database!$A:$I,7,0)</f>
        <v>RTM1P45|LAST</v>
      </c>
      <c r="G38" s="10" t="str">
        <f>VLOOKUP(D38,Database!$A:$I,7,0)</f>
        <v>RTM2P45|LAST</v>
      </c>
      <c r="H38" s="10" t="str">
        <f>VLOOKUP(E38,Database!$A:$I,7,0)</f>
        <v>RTM|LAST</v>
      </c>
      <c r="I38" s="10" t="e">
        <f t="shared" si="12"/>
        <v>#VALUE!</v>
      </c>
      <c r="J38" s="10">
        <v>0</v>
      </c>
      <c r="K38" s="11" t="e">
        <f t="shared" si="13"/>
        <v>#VALUE!</v>
      </c>
      <c r="L38" s="10" t="e">
        <f t="shared" ref="L38:L47" si="18">IF(ABS(K38)&gt;$L$6,-SIGN(K38),0)</f>
        <v>#VALUE!</v>
      </c>
      <c r="M38" s="10">
        <v>0</v>
      </c>
      <c r="N38" s="12">
        <v>100</v>
      </c>
      <c r="O38" s="12">
        <v>100</v>
      </c>
      <c r="P38" s="12">
        <v>100</v>
      </c>
    </row>
    <row r="39" spans="1:16" x14ac:dyDescent="0.3">
      <c r="A39" s="10">
        <v>46</v>
      </c>
      <c r="B39" s="10" t="s">
        <v>61</v>
      </c>
      <c r="C39" s="10" t="s">
        <v>4</v>
      </c>
      <c r="D39" s="10" t="s">
        <v>24</v>
      </c>
      <c r="E39" s="10" t="s">
        <v>0</v>
      </c>
      <c r="F39" s="10" t="str">
        <f>VLOOKUP(C39,Database!$A:$I,7,0)</f>
        <v>RTM1P46|LAST</v>
      </c>
      <c r="G39" s="10" t="str">
        <f>VLOOKUP(D39,Database!$A:$I,7,0)</f>
        <v>RTM2P46|LAST</v>
      </c>
      <c r="H39" s="10" t="str">
        <f>VLOOKUP(E39,Database!$A:$I,7,0)</f>
        <v>RTM|LAST</v>
      </c>
      <c r="I39" s="10" t="e">
        <f t="shared" si="12"/>
        <v>#VALUE!</v>
      </c>
      <c r="J39" s="10">
        <v>0</v>
      </c>
      <c r="K39" s="11" t="e">
        <f t="shared" si="13"/>
        <v>#VALUE!</v>
      </c>
      <c r="L39" s="10" t="e">
        <f t="shared" si="18"/>
        <v>#VALUE!</v>
      </c>
      <c r="M39" s="10">
        <v>0</v>
      </c>
      <c r="N39" s="10">
        <f>N38</f>
        <v>100</v>
      </c>
      <c r="O39" s="10">
        <f t="shared" ref="O39:O47" si="19">O38</f>
        <v>100</v>
      </c>
      <c r="P39" s="10">
        <f t="shared" ref="P39:P47" si="20">P38</f>
        <v>100</v>
      </c>
    </row>
    <row r="40" spans="1:16" x14ac:dyDescent="0.3">
      <c r="A40" s="10">
        <v>47</v>
      </c>
      <c r="B40" s="10" t="s">
        <v>61</v>
      </c>
      <c r="C40" s="10" t="s">
        <v>6</v>
      </c>
      <c r="D40" s="10" t="s">
        <v>26</v>
      </c>
      <c r="E40" s="10" t="s">
        <v>0</v>
      </c>
      <c r="F40" s="10" t="str">
        <f>VLOOKUP(C40,Database!$A:$I,7,0)</f>
        <v>RTM1P47|LAST</v>
      </c>
      <c r="G40" s="10" t="str">
        <f>VLOOKUP(D40,Database!$A:$I,7,0)</f>
        <v>RTM2P47|LAST</v>
      </c>
      <c r="H40" s="10" t="str">
        <f>VLOOKUP(E40,Database!$A:$I,7,0)</f>
        <v>RTM|LAST</v>
      </c>
      <c r="I40" s="10" t="e">
        <f t="shared" si="12"/>
        <v>#VALUE!</v>
      </c>
      <c r="J40" s="10">
        <v>0</v>
      </c>
      <c r="K40" s="11" t="e">
        <f t="shared" si="13"/>
        <v>#VALUE!</v>
      </c>
      <c r="L40" s="10" t="e">
        <f t="shared" si="18"/>
        <v>#VALUE!</v>
      </c>
      <c r="M40" s="10">
        <v>0</v>
      </c>
      <c r="N40" s="10">
        <f t="shared" ref="N40:N47" si="21">N39</f>
        <v>100</v>
      </c>
      <c r="O40" s="10">
        <f t="shared" si="19"/>
        <v>100</v>
      </c>
      <c r="P40" s="10">
        <f t="shared" si="20"/>
        <v>100</v>
      </c>
    </row>
    <row r="41" spans="1:16" x14ac:dyDescent="0.3">
      <c r="A41" s="10">
        <v>48</v>
      </c>
      <c r="B41" s="10" t="s">
        <v>61</v>
      </c>
      <c r="C41" s="10" t="s">
        <v>8</v>
      </c>
      <c r="D41" s="10" t="s">
        <v>28</v>
      </c>
      <c r="E41" s="10" t="s">
        <v>0</v>
      </c>
      <c r="F41" s="10" t="str">
        <f>VLOOKUP(C41,Database!$A:$I,7,0)</f>
        <v>RTM1P48|LAST</v>
      </c>
      <c r="G41" s="10" t="str">
        <f>VLOOKUP(D41,Database!$A:$I,7,0)</f>
        <v>RTM2P48|LAST</v>
      </c>
      <c r="H41" s="10" t="str">
        <f>VLOOKUP(E41,Database!$A:$I,7,0)</f>
        <v>RTM|LAST</v>
      </c>
      <c r="I41" s="10" t="e">
        <f t="shared" si="12"/>
        <v>#VALUE!</v>
      </c>
      <c r="J41" s="10">
        <v>0</v>
      </c>
      <c r="K41" s="11" t="e">
        <f t="shared" si="13"/>
        <v>#VALUE!</v>
      </c>
      <c r="L41" s="10" t="e">
        <f t="shared" si="18"/>
        <v>#VALUE!</v>
      </c>
      <c r="M41" s="10">
        <v>0</v>
      </c>
      <c r="N41" s="10">
        <f t="shared" si="21"/>
        <v>100</v>
      </c>
      <c r="O41" s="10">
        <f t="shared" si="19"/>
        <v>100</v>
      </c>
      <c r="P41" s="10">
        <f t="shared" si="20"/>
        <v>100</v>
      </c>
    </row>
    <row r="42" spans="1:16" x14ac:dyDescent="0.3">
      <c r="A42" s="10">
        <v>49</v>
      </c>
      <c r="B42" s="10" t="s">
        <v>61</v>
      </c>
      <c r="C42" s="10" t="s">
        <v>10</v>
      </c>
      <c r="D42" s="10" t="s">
        <v>30</v>
      </c>
      <c r="E42" s="10" t="s">
        <v>0</v>
      </c>
      <c r="F42" s="10" t="str">
        <f>VLOOKUP(C42,Database!$A:$I,7,0)</f>
        <v>RTM1P49|LAST</v>
      </c>
      <c r="G42" s="10" t="str">
        <f>VLOOKUP(D42,Database!$A:$I,7,0)</f>
        <v>RTM2P49|LAST</v>
      </c>
      <c r="H42" s="10" t="str">
        <f>VLOOKUP(E42,Database!$A:$I,7,0)</f>
        <v>RTM|LAST</v>
      </c>
      <c r="I42" s="10" t="e">
        <f t="shared" si="12"/>
        <v>#VALUE!</v>
      </c>
      <c r="J42" s="10">
        <v>0</v>
      </c>
      <c r="K42" s="11" t="e">
        <f t="shared" si="13"/>
        <v>#VALUE!</v>
      </c>
      <c r="L42" s="10" t="e">
        <f t="shared" si="18"/>
        <v>#VALUE!</v>
      </c>
      <c r="M42" s="10">
        <v>0</v>
      </c>
      <c r="N42" s="10">
        <f t="shared" si="21"/>
        <v>100</v>
      </c>
      <c r="O42" s="10">
        <f t="shared" si="19"/>
        <v>100</v>
      </c>
      <c r="P42" s="10">
        <f t="shared" si="20"/>
        <v>100</v>
      </c>
    </row>
    <row r="43" spans="1:16" x14ac:dyDescent="0.3">
      <c r="A43" s="10">
        <v>50</v>
      </c>
      <c r="B43" s="10" t="s">
        <v>61</v>
      </c>
      <c r="C43" s="10" t="s">
        <v>12</v>
      </c>
      <c r="D43" s="10" t="s">
        <v>32</v>
      </c>
      <c r="E43" s="10" t="s">
        <v>0</v>
      </c>
      <c r="F43" s="10" t="str">
        <f>VLOOKUP(C43,Database!$A:$I,7,0)</f>
        <v>RTM1P50|LAST</v>
      </c>
      <c r="G43" s="10" t="str">
        <f>VLOOKUP(D43,Database!$A:$I,7,0)</f>
        <v>RTM2P50|LAST</v>
      </c>
      <c r="H43" s="10" t="str">
        <f>VLOOKUP(E43,Database!$A:$I,7,0)</f>
        <v>RTM|LAST</v>
      </c>
      <c r="I43" s="10" t="e">
        <f t="shared" si="12"/>
        <v>#VALUE!</v>
      </c>
      <c r="J43" s="10">
        <v>0</v>
      </c>
      <c r="K43" s="11" t="e">
        <f t="shared" si="13"/>
        <v>#VALUE!</v>
      </c>
      <c r="L43" s="10" t="e">
        <f t="shared" si="18"/>
        <v>#VALUE!</v>
      </c>
      <c r="M43" s="10">
        <v>0</v>
      </c>
      <c r="N43" s="10">
        <f t="shared" si="21"/>
        <v>100</v>
      </c>
      <c r="O43" s="10">
        <f t="shared" si="19"/>
        <v>100</v>
      </c>
      <c r="P43" s="10">
        <f t="shared" si="20"/>
        <v>100</v>
      </c>
    </row>
    <row r="44" spans="1:16" x14ac:dyDescent="0.3">
      <c r="A44" s="10">
        <v>51</v>
      </c>
      <c r="B44" s="10" t="s">
        <v>61</v>
      </c>
      <c r="C44" s="10" t="s">
        <v>14</v>
      </c>
      <c r="D44" s="10" t="s">
        <v>34</v>
      </c>
      <c r="E44" s="10" t="s">
        <v>0</v>
      </c>
      <c r="F44" s="10" t="str">
        <f>VLOOKUP(C44,Database!$A:$I,7,0)</f>
        <v>RTM1P51|LAST</v>
      </c>
      <c r="G44" s="10" t="str">
        <f>VLOOKUP(D44,Database!$A:$I,7,0)</f>
        <v>RTM2P51|LAST</v>
      </c>
      <c r="H44" s="10" t="str">
        <f>VLOOKUP(E44,Database!$A:$I,7,0)</f>
        <v>RTM|LAST</v>
      </c>
      <c r="I44" s="10" t="e">
        <f t="shared" si="12"/>
        <v>#VALUE!</v>
      </c>
      <c r="J44" s="10">
        <v>0</v>
      </c>
      <c r="K44" s="11" t="e">
        <f t="shared" si="13"/>
        <v>#VALUE!</v>
      </c>
      <c r="L44" s="10" t="e">
        <f t="shared" si="18"/>
        <v>#VALUE!</v>
      </c>
      <c r="M44" s="10">
        <v>0</v>
      </c>
      <c r="N44" s="10">
        <f t="shared" si="21"/>
        <v>100</v>
      </c>
      <c r="O44" s="10">
        <f t="shared" si="19"/>
        <v>100</v>
      </c>
      <c r="P44" s="10">
        <f t="shared" si="20"/>
        <v>100</v>
      </c>
    </row>
    <row r="45" spans="1:16" x14ac:dyDescent="0.3">
      <c r="A45" s="10">
        <v>52</v>
      </c>
      <c r="B45" s="10" t="s">
        <v>61</v>
      </c>
      <c r="C45" s="10" t="s">
        <v>16</v>
      </c>
      <c r="D45" s="10" t="s">
        <v>36</v>
      </c>
      <c r="E45" s="10" t="s">
        <v>0</v>
      </c>
      <c r="F45" s="10" t="str">
        <f t="shared" si="7"/>
        <v>RTM1P51|LAST</v>
      </c>
      <c r="G45" s="10" t="str">
        <f>VLOOKUP(D45,Database!$A:$I,7,0)</f>
        <v>RTM2P52|LAST</v>
      </c>
      <c r="H45" s="10" t="str">
        <f>VLOOKUP(E45,Database!$A:$I,7,0)</f>
        <v>RTM|LAST</v>
      </c>
      <c r="I45" s="10" t="e">
        <f t="shared" si="12"/>
        <v>#VALUE!</v>
      </c>
      <c r="J45" s="10">
        <v>0</v>
      </c>
      <c r="K45" s="11" t="e">
        <f t="shared" si="13"/>
        <v>#VALUE!</v>
      </c>
      <c r="L45" s="10" t="e">
        <f t="shared" si="18"/>
        <v>#VALUE!</v>
      </c>
      <c r="M45" s="10">
        <v>0</v>
      </c>
      <c r="N45" s="10">
        <f t="shared" si="21"/>
        <v>100</v>
      </c>
      <c r="O45" s="10">
        <f t="shared" si="19"/>
        <v>100</v>
      </c>
      <c r="P45" s="10">
        <f t="shared" si="20"/>
        <v>100</v>
      </c>
    </row>
    <row r="46" spans="1:16" x14ac:dyDescent="0.3">
      <c r="A46" s="10">
        <v>53</v>
      </c>
      <c r="B46" s="10" t="s">
        <v>61</v>
      </c>
      <c r="C46" s="10" t="s">
        <v>18</v>
      </c>
      <c r="D46" s="10" t="s">
        <v>38</v>
      </c>
      <c r="E46" s="10" t="s">
        <v>0</v>
      </c>
      <c r="F46" s="10" t="str">
        <f t="shared" si="7"/>
        <v>RTM1P51|LAST</v>
      </c>
      <c r="G46" s="10" t="str">
        <f>VLOOKUP(D46,Database!$A:$I,7,0)</f>
        <v>RTM2P53|LAST</v>
      </c>
      <c r="H46" s="10" t="str">
        <f>VLOOKUP(E46,Database!$A:$I,7,0)</f>
        <v>RTM|LAST</v>
      </c>
      <c r="I46" s="10" t="e">
        <f t="shared" si="12"/>
        <v>#VALUE!</v>
      </c>
      <c r="J46" s="10">
        <v>0</v>
      </c>
      <c r="K46" s="11" t="e">
        <f t="shared" si="13"/>
        <v>#VALUE!</v>
      </c>
      <c r="L46" s="10" t="e">
        <f t="shared" si="18"/>
        <v>#VALUE!</v>
      </c>
      <c r="M46" s="10">
        <v>0</v>
      </c>
      <c r="N46" s="10">
        <f t="shared" si="21"/>
        <v>100</v>
      </c>
      <c r="O46" s="10">
        <f t="shared" si="19"/>
        <v>100</v>
      </c>
      <c r="P46" s="10">
        <f t="shared" si="20"/>
        <v>100</v>
      </c>
    </row>
    <row r="47" spans="1:16" x14ac:dyDescent="0.3">
      <c r="A47" s="10">
        <v>54</v>
      </c>
      <c r="B47" s="10" t="s">
        <v>61</v>
      </c>
      <c r="C47" s="10" t="s">
        <v>20</v>
      </c>
      <c r="D47" s="10" t="s">
        <v>40</v>
      </c>
      <c r="E47" s="10" t="s">
        <v>0</v>
      </c>
      <c r="F47" s="10" t="str">
        <f t="shared" si="7"/>
        <v>RTM1P51|LAST</v>
      </c>
      <c r="G47" s="10" t="str">
        <f>VLOOKUP(D47,Database!$A:$I,7,0)</f>
        <v>RTM2P54|LAST</v>
      </c>
      <c r="H47" s="10" t="str">
        <f>VLOOKUP(E47,Database!$A:$I,7,0)</f>
        <v>RTM|LAST</v>
      </c>
      <c r="I47" s="10" t="e">
        <f t="shared" si="12"/>
        <v>#VALUE!</v>
      </c>
      <c r="J47" s="10">
        <v>0</v>
      </c>
      <c r="K47" s="11" t="e">
        <f t="shared" si="13"/>
        <v>#VALUE!</v>
      </c>
      <c r="L47" s="10" t="e">
        <f t="shared" si="18"/>
        <v>#VALUE!</v>
      </c>
      <c r="M47" s="10">
        <v>0</v>
      </c>
      <c r="N47" s="10">
        <f t="shared" si="21"/>
        <v>100</v>
      </c>
      <c r="O47" s="10">
        <f t="shared" si="19"/>
        <v>100</v>
      </c>
      <c r="P47" s="10">
        <f t="shared" si="20"/>
        <v>100</v>
      </c>
    </row>
    <row r="48" spans="1:16" x14ac:dyDescent="0.3">
      <c r="A48" s="13">
        <v>45</v>
      </c>
      <c r="B48" s="13" t="s">
        <v>61</v>
      </c>
      <c r="C48" s="13" t="s">
        <v>2</v>
      </c>
      <c r="D48" s="13" t="s">
        <v>22</v>
      </c>
      <c r="E48" s="13" t="s">
        <v>0</v>
      </c>
      <c r="F48" s="13" t="str">
        <f>VLOOKUP(C48,Database!$A:$I,7,0)</f>
        <v>RTM1P45|LAST</v>
      </c>
      <c r="G48" s="13" t="str">
        <f>VLOOKUP(D48,Database!$A:$I,7,0)</f>
        <v>RTM2P45|LAST</v>
      </c>
      <c r="H48" s="13" t="str">
        <f>VLOOKUP(E48,Database!$A:$I,7,0)</f>
        <v>RTM|LAST</v>
      </c>
      <c r="I48" s="13" t="e">
        <f t="shared" ref="I48:I57" si="22">F48-G48</f>
        <v>#VALUE!</v>
      </c>
      <c r="J48" s="13">
        <v>0</v>
      </c>
      <c r="K48" s="14" t="e">
        <f t="shared" ref="K48:K57" si="23">I48-J48</f>
        <v>#VALUE!</v>
      </c>
      <c r="L48" s="13" t="e">
        <f t="shared" ref="L48:L57" si="24">IF(ABS(K48)&gt;$L$6,-SIGN(K48),0)</f>
        <v>#VALUE!</v>
      </c>
      <c r="M48" s="13">
        <v>0</v>
      </c>
      <c r="N48" s="15">
        <v>100</v>
      </c>
      <c r="O48" s="15">
        <v>100</v>
      </c>
      <c r="P48" s="15">
        <v>100</v>
      </c>
    </row>
    <row r="49" spans="1:16" x14ac:dyDescent="0.3">
      <c r="A49" s="13">
        <v>46</v>
      </c>
      <c r="B49" s="13" t="s">
        <v>61</v>
      </c>
      <c r="C49" s="13" t="s">
        <v>4</v>
      </c>
      <c r="D49" s="13" t="s">
        <v>24</v>
      </c>
      <c r="E49" s="13" t="s">
        <v>0</v>
      </c>
      <c r="F49" s="13" t="str">
        <f>VLOOKUP(C49,Database!$A:$I,7,0)</f>
        <v>RTM1P46|LAST</v>
      </c>
      <c r="G49" s="13" t="str">
        <f>VLOOKUP(D49,Database!$A:$I,7,0)</f>
        <v>RTM2P46|LAST</v>
      </c>
      <c r="H49" s="13" t="str">
        <f>VLOOKUP(E49,Database!$A:$I,7,0)</f>
        <v>RTM|LAST</v>
      </c>
      <c r="I49" s="13" t="e">
        <f t="shared" si="22"/>
        <v>#VALUE!</v>
      </c>
      <c r="J49" s="13">
        <v>0</v>
      </c>
      <c r="K49" s="14" t="e">
        <f t="shared" si="23"/>
        <v>#VALUE!</v>
      </c>
      <c r="L49" s="13" t="e">
        <f t="shared" si="24"/>
        <v>#VALUE!</v>
      </c>
      <c r="M49" s="13">
        <v>0</v>
      </c>
      <c r="N49" s="13">
        <f>N48</f>
        <v>100</v>
      </c>
      <c r="O49" s="13">
        <f t="shared" ref="O49:O57" si="25">O48</f>
        <v>100</v>
      </c>
      <c r="P49" s="13">
        <f t="shared" ref="P49:P57" si="26">P48</f>
        <v>100</v>
      </c>
    </row>
    <row r="50" spans="1:16" x14ac:dyDescent="0.3">
      <c r="A50" s="13">
        <v>47</v>
      </c>
      <c r="B50" s="13" t="s">
        <v>61</v>
      </c>
      <c r="C50" s="13" t="s">
        <v>6</v>
      </c>
      <c r="D50" s="13" t="s">
        <v>26</v>
      </c>
      <c r="E50" s="13" t="s">
        <v>0</v>
      </c>
      <c r="F50" s="13" t="str">
        <f>VLOOKUP(C50,Database!$A:$I,7,0)</f>
        <v>RTM1P47|LAST</v>
      </c>
      <c r="G50" s="13" t="str">
        <f>VLOOKUP(D50,Database!$A:$I,7,0)</f>
        <v>RTM2P47|LAST</v>
      </c>
      <c r="H50" s="13" t="str">
        <f>VLOOKUP(E50,Database!$A:$I,7,0)</f>
        <v>RTM|LAST</v>
      </c>
      <c r="I50" s="13" t="e">
        <f t="shared" si="22"/>
        <v>#VALUE!</v>
      </c>
      <c r="J50" s="13">
        <v>0</v>
      </c>
      <c r="K50" s="14" t="e">
        <f t="shared" si="23"/>
        <v>#VALUE!</v>
      </c>
      <c r="L50" s="13" t="e">
        <f t="shared" si="24"/>
        <v>#VALUE!</v>
      </c>
      <c r="M50" s="13">
        <v>0</v>
      </c>
      <c r="N50" s="13">
        <f t="shared" ref="N50:N57" si="27">N49</f>
        <v>100</v>
      </c>
      <c r="O50" s="13">
        <f t="shared" si="25"/>
        <v>100</v>
      </c>
      <c r="P50" s="13">
        <f t="shared" si="26"/>
        <v>100</v>
      </c>
    </row>
    <row r="51" spans="1:16" x14ac:dyDescent="0.3">
      <c r="A51" s="13">
        <v>48</v>
      </c>
      <c r="B51" s="13" t="s">
        <v>61</v>
      </c>
      <c r="C51" s="13" t="s">
        <v>8</v>
      </c>
      <c r="D51" s="13" t="s">
        <v>28</v>
      </c>
      <c r="E51" s="13" t="s">
        <v>0</v>
      </c>
      <c r="F51" s="13" t="str">
        <f>VLOOKUP(C51,Database!$A:$I,7,0)</f>
        <v>RTM1P48|LAST</v>
      </c>
      <c r="G51" s="13" t="str">
        <f>VLOOKUP(D51,Database!$A:$I,7,0)</f>
        <v>RTM2P48|LAST</v>
      </c>
      <c r="H51" s="13" t="str">
        <f>VLOOKUP(E51,Database!$A:$I,7,0)</f>
        <v>RTM|LAST</v>
      </c>
      <c r="I51" s="13" t="e">
        <f t="shared" si="22"/>
        <v>#VALUE!</v>
      </c>
      <c r="J51" s="13">
        <v>0</v>
      </c>
      <c r="K51" s="14" t="e">
        <f t="shared" si="23"/>
        <v>#VALUE!</v>
      </c>
      <c r="L51" s="13" t="e">
        <f t="shared" si="24"/>
        <v>#VALUE!</v>
      </c>
      <c r="M51" s="13">
        <v>0</v>
      </c>
      <c r="N51" s="13">
        <f t="shared" si="27"/>
        <v>100</v>
      </c>
      <c r="O51" s="13">
        <f t="shared" si="25"/>
        <v>100</v>
      </c>
      <c r="P51" s="13">
        <f t="shared" si="26"/>
        <v>100</v>
      </c>
    </row>
    <row r="52" spans="1:16" x14ac:dyDescent="0.3">
      <c r="A52" s="13">
        <v>49</v>
      </c>
      <c r="B52" s="13" t="s">
        <v>61</v>
      </c>
      <c r="C52" s="13" t="s">
        <v>10</v>
      </c>
      <c r="D52" s="13" t="s">
        <v>30</v>
      </c>
      <c r="E52" s="13" t="s">
        <v>0</v>
      </c>
      <c r="F52" s="13" t="str">
        <f>VLOOKUP(C52,Database!$A:$I,7,0)</f>
        <v>RTM1P49|LAST</v>
      </c>
      <c r="G52" s="13" t="str">
        <f>VLOOKUP(D52,Database!$A:$I,7,0)</f>
        <v>RTM2P49|LAST</v>
      </c>
      <c r="H52" s="13" t="str">
        <f>VLOOKUP(E52,Database!$A:$I,7,0)</f>
        <v>RTM|LAST</v>
      </c>
      <c r="I52" s="13" t="e">
        <f t="shared" si="22"/>
        <v>#VALUE!</v>
      </c>
      <c r="J52" s="13">
        <v>0</v>
      </c>
      <c r="K52" s="14" t="e">
        <f t="shared" si="23"/>
        <v>#VALUE!</v>
      </c>
      <c r="L52" s="13" t="e">
        <f t="shared" si="24"/>
        <v>#VALUE!</v>
      </c>
      <c r="M52" s="13">
        <v>0</v>
      </c>
      <c r="N52" s="13">
        <f t="shared" si="27"/>
        <v>100</v>
      </c>
      <c r="O52" s="13">
        <f t="shared" si="25"/>
        <v>100</v>
      </c>
      <c r="P52" s="13">
        <f t="shared" si="26"/>
        <v>100</v>
      </c>
    </row>
    <row r="53" spans="1:16" x14ac:dyDescent="0.3">
      <c r="A53" s="13">
        <v>50</v>
      </c>
      <c r="B53" s="13" t="s">
        <v>61</v>
      </c>
      <c r="C53" s="13" t="s">
        <v>12</v>
      </c>
      <c r="D53" s="13" t="s">
        <v>32</v>
      </c>
      <c r="E53" s="13" t="s">
        <v>0</v>
      </c>
      <c r="F53" s="13" t="str">
        <f>VLOOKUP(C53,Database!$A:$I,7,0)</f>
        <v>RTM1P50|LAST</v>
      </c>
      <c r="G53" s="13" t="str">
        <f>VLOOKUP(D53,Database!$A:$I,7,0)</f>
        <v>RTM2P50|LAST</v>
      </c>
      <c r="H53" s="13" t="str">
        <f>VLOOKUP(E53,Database!$A:$I,7,0)</f>
        <v>RTM|LAST</v>
      </c>
      <c r="I53" s="13" t="e">
        <f t="shared" si="22"/>
        <v>#VALUE!</v>
      </c>
      <c r="J53" s="13">
        <v>0</v>
      </c>
      <c r="K53" s="14" t="e">
        <f t="shared" si="23"/>
        <v>#VALUE!</v>
      </c>
      <c r="L53" s="13" t="e">
        <f t="shared" si="24"/>
        <v>#VALUE!</v>
      </c>
      <c r="M53" s="13">
        <v>0</v>
      </c>
      <c r="N53" s="13">
        <f t="shared" si="27"/>
        <v>100</v>
      </c>
      <c r="O53" s="13">
        <f t="shared" si="25"/>
        <v>100</v>
      </c>
      <c r="P53" s="13">
        <f t="shared" si="26"/>
        <v>100</v>
      </c>
    </row>
    <row r="54" spans="1:16" x14ac:dyDescent="0.3">
      <c r="A54" s="13">
        <v>51</v>
      </c>
      <c r="B54" s="13" t="s">
        <v>61</v>
      </c>
      <c r="C54" s="13" t="s">
        <v>14</v>
      </c>
      <c r="D54" s="13" t="s">
        <v>34</v>
      </c>
      <c r="E54" s="13" t="s">
        <v>0</v>
      </c>
      <c r="F54" s="13" t="str">
        <f>VLOOKUP(C54,Database!$A:$I,7,0)</f>
        <v>RTM1P51|LAST</v>
      </c>
      <c r="G54" s="13" t="str">
        <f>VLOOKUP(D54,Database!$A:$I,7,0)</f>
        <v>RTM2P51|LAST</v>
      </c>
      <c r="H54" s="13" t="str">
        <f>VLOOKUP(E54,Database!$A:$I,7,0)</f>
        <v>RTM|LAST</v>
      </c>
      <c r="I54" s="13" t="e">
        <f t="shared" si="22"/>
        <v>#VALUE!</v>
      </c>
      <c r="J54" s="13">
        <v>0</v>
      </c>
      <c r="K54" s="14" t="e">
        <f t="shared" si="23"/>
        <v>#VALUE!</v>
      </c>
      <c r="L54" s="13" t="e">
        <f t="shared" si="24"/>
        <v>#VALUE!</v>
      </c>
      <c r="M54" s="13">
        <v>0</v>
      </c>
      <c r="N54" s="13">
        <f t="shared" si="27"/>
        <v>100</v>
      </c>
      <c r="O54" s="13">
        <f t="shared" si="25"/>
        <v>100</v>
      </c>
      <c r="P54" s="13">
        <f t="shared" si="26"/>
        <v>100</v>
      </c>
    </row>
    <row r="55" spans="1:16" x14ac:dyDescent="0.3">
      <c r="A55" s="13">
        <v>52</v>
      </c>
      <c r="B55" s="13" t="s">
        <v>61</v>
      </c>
      <c r="C55" s="13" t="s">
        <v>16</v>
      </c>
      <c r="D55" s="13" t="s">
        <v>36</v>
      </c>
      <c r="E55" s="13" t="s">
        <v>0</v>
      </c>
      <c r="F55" s="13" t="str">
        <f t="shared" ref="F55:F57" si="28">F54</f>
        <v>RTM1P51|LAST</v>
      </c>
      <c r="G55" s="13" t="str">
        <f>VLOOKUP(D55,Database!$A:$I,7,0)</f>
        <v>RTM2P52|LAST</v>
      </c>
      <c r="H55" s="13" t="str">
        <f>VLOOKUP(E55,Database!$A:$I,7,0)</f>
        <v>RTM|LAST</v>
      </c>
      <c r="I55" s="13" t="e">
        <f t="shared" si="22"/>
        <v>#VALUE!</v>
      </c>
      <c r="J55" s="13">
        <v>0</v>
      </c>
      <c r="K55" s="14" t="e">
        <f t="shared" si="23"/>
        <v>#VALUE!</v>
      </c>
      <c r="L55" s="13" t="e">
        <f t="shared" si="24"/>
        <v>#VALUE!</v>
      </c>
      <c r="M55" s="13">
        <v>0</v>
      </c>
      <c r="N55" s="13">
        <f t="shared" si="27"/>
        <v>100</v>
      </c>
      <c r="O55" s="13">
        <f t="shared" si="25"/>
        <v>100</v>
      </c>
      <c r="P55" s="13">
        <f t="shared" si="26"/>
        <v>100</v>
      </c>
    </row>
    <row r="56" spans="1:16" x14ac:dyDescent="0.3">
      <c r="A56" s="13">
        <v>53</v>
      </c>
      <c r="B56" s="13" t="s">
        <v>61</v>
      </c>
      <c r="C56" s="13" t="s">
        <v>18</v>
      </c>
      <c r="D56" s="13" t="s">
        <v>38</v>
      </c>
      <c r="E56" s="13" t="s">
        <v>0</v>
      </c>
      <c r="F56" s="13" t="str">
        <f t="shared" si="28"/>
        <v>RTM1P51|LAST</v>
      </c>
      <c r="G56" s="13" t="str">
        <f>VLOOKUP(D56,Database!$A:$I,7,0)</f>
        <v>RTM2P53|LAST</v>
      </c>
      <c r="H56" s="13" t="str">
        <f>VLOOKUP(E56,Database!$A:$I,7,0)</f>
        <v>RTM|LAST</v>
      </c>
      <c r="I56" s="13" t="e">
        <f t="shared" si="22"/>
        <v>#VALUE!</v>
      </c>
      <c r="J56" s="13">
        <v>0</v>
      </c>
      <c r="K56" s="14" t="e">
        <f t="shared" si="23"/>
        <v>#VALUE!</v>
      </c>
      <c r="L56" s="13" t="e">
        <f t="shared" si="24"/>
        <v>#VALUE!</v>
      </c>
      <c r="M56" s="13">
        <v>0</v>
      </c>
      <c r="N56" s="13">
        <f t="shared" si="27"/>
        <v>100</v>
      </c>
      <c r="O56" s="13">
        <f t="shared" si="25"/>
        <v>100</v>
      </c>
      <c r="P56" s="13">
        <f t="shared" si="26"/>
        <v>100</v>
      </c>
    </row>
    <row r="57" spans="1:16" x14ac:dyDescent="0.3">
      <c r="A57" s="13">
        <v>54</v>
      </c>
      <c r="B57" s="13" t="s">
        <v>61</v>
      </c>
      <c r="C57" s="13" t="s">
        <v>20</v>
      </c>
      <c r="D57" s="13" t="s">
        <v>40</v>
      </c>
      <c r="E57" s="13" t="s">
        <v>0</v>
      </c>
      <c r="F57" s="13" t="str">
        <f t="shared" si="28"/>
        <v>RTM1P51|LAST</v>
      </c>
      <c r="G57" s="13" t="str">
        <f>VLOOKUP(D57,Database!$A:$I,7,0)</f>
        <v>RTM2P54|LAST</v>
      </c>
      <c r="H57" s="13" t="str">
        <f>VLOOKUP(E57,Database!$A:$I,7,0)</f>
        <v>RTM|LAST</v>
      </c>
      <c r="I57" s="13" t="e">
        <f t="shared" si="22"/>
        <v>#VALUE!</v>
      </c>
      <c r="J57" s="13">
        <v>0</v>
      </c>
      <c r="K57" s="14" t="e">
        <f t="shared" si="23"/>
        <v>#VALUE!</v>
      </c>
      <c r="L57" s="13" t="e">
        <f t="shared" si="24"/>
        <v>#VALUE!</v>
      </c>
      <c r="M57" s="13">
        <v>0</v>
      </c>
      <c r="N57" s="13">
        <f t="shared" si="27"/>
        <v>100</v>
      </c>
      <c r="O57" s="13">
        <f t="shared" si="25"/>
        <v>100</v>
      </c>
      <c r="P57" s="13">
        <f t="shared" si="26"/>
        <v>100</v>
      </c>
    </row>
    <row r="58" spans="1:16" x14ac:dyDescent="0.3">
      <c r="A58" s="16">
        <v>46</v>
      </c>
      <c r="B58" s="16" t="s">
        <v>61</v>
      </c>
      <c r="C58" s="16" t="s">
        <v>2</v>
      </c>
      <c r="D58" s="16" t="s">
        <v>24</v>
      </c>
      <c r="E58" s="16" t="s">
        <v>6</v>
      </c>
      <c r="F58" s="16" t="str">
        <f>VLOOKUP(C58,Database!$A:$I,7,0)</f>
        <v>RTM1P45|LAST</v>
      </c>
      <c r="G58" s="16" t="str">
        <f>VLOOKUP(D58,Database!$A:$I,7,0)</f>
        <v>RTM2P46|LAST</v>
      </c>
      <c r="H58" s="16" t="str">
        <f>VLOOKUP(E58,Database!$A:$I,7,0)</f>
        <v>RTM1P47|LAST</v>
      </c>
      <c r="I58" s="16" t="e">
        <f t="shared" ref="I58:I65" si="29">F58-G58</f>
        <v>#VALUE!</v>
      </c>
      <c r="J58" s="16">
        <v>0</v>
      </c>
      <c r="K58" s="17" t="e">
        <f t="shared" ref="K58:K65" si="30">I58-J58</f>
        <v>#VALUE!</v>
      </c>
      <c r="L58" s="16" t="e">
        <f t="shared" ref="L58:L65" si="31">IF(ABS(K58)&gt;$L$6,-SIGN(K58),0)</f>
        <v>#VALUE!</v>
      </c>
      <c r="M58" s="16">
        <v>0</v>
      </c>
      <c r="N58" s="18">
        <v>100</v>
      </c>
      <c r="O58" s="18">
        <v>200</v>
      </c>
      <c r="P58" s="18">
        <v>100</v>
      </c>
    </row>
    <row r="59" spans="1:16" x14ac:dyDescent="0.3">
      <c r="A59" s="16">
        <v>47</v>
      </c>
      <c r="B59" s="16" t="s">
        <v>61</v>
      </c>
      <c r="C59" s="16" t="s">
        <v>4</v>
      </c>
      <c r="D59" s="16" t="s">
        <v>26</v>
      </c>
      <c r="E59" s="16" t="s">
        <v>8</v>
      </c>
      <c r="F59" s="16" t="str">
        <f>VLOOKUP(C59,Database!$A:$I,7,0)</f>
        <v>RTM1P46|LAST</v>
      </c>
      <c r="G59" s="16" t="str">
        <f>VLOOKUP(D59,Database!$A:$I,7,0)</f>
        <v>RTM2P47|LAST</v>
      </c>
      <c r="H59" s="16" t="str">
        <f>VLOOKUP(E59,Database!$A:$I,7,0)</f>
        <v>RTM1P48|LAST</v>
      </c>
      <c r="I59" s="16" t="e">
        <f t="shared" si="29"/>
        <v>#VALUE!</v>
      </c>
      <c r="J59" s="16">
        <v>0</v>
      </c>
      <c r="K59" s="17" t="e">
        <f t="shared" si="30"/>
        <v>#VALUE!</v>
      </c>
      <c r="L59" s="16" t="e">
        <f t="shared" si="31"/>
        <v>#VALUE!</v>
      </c>
      <c r="M59" s="16">
        <v>0</v>
      </c>
      <c r="N59" s="16">
        <f>N58</f>
        <v>100</v>
      </c>
      <c r="O59" s="16">
        <f t="shared" ref="O59:O65" si="32">O58</f>
        <v>200</v>
      </c>
      <c r="P59" s="16">
        <f t="shared" ref="P59:P65" si="33">P58</f>
        <v>100</v>
      </c>
    </row>
    <row r="60" spans="1:16" x14ac:dyDescent="0.3">
      <c r="A60" s="16">
        <v>48</v>
      </c>
      <c r="B60" s="16" t="s">
        <v>61</v>
      </c>
      <c r="C60" s="16" t="s">
        <v>6</v>
      </c>
      <c r="D60" s="16" t="s">
        <v>28</v>
      </c>
      <c r="E60" s="16" t="s">
        <v>10</v>
      </c>
      <c r="F60" s="16" t="str">
        <f>VLOOKUP(C60,Database!$A:$I,7,0)</f>
        <v>RTM1P47|LAST</v>
      </c>
      <c r="G60" s="16" t="str">
        <f>VLOOKUP(D60,Database!$A:$I,7,0)</f>
        <v>RTM2P48|LAST</v>
      </c>
      <c r="H60" s="16" t="str">
        <f>VLOOKUP(E60,Database!$A:$I,7,0)</f>
        <v>RTM1P49|LAST</v>
      </c>
      <c r="I60" s="16" t="e">
        <f t="shared" si="29"/>
        <v>#VALUE!</v>
      </c>
      <c r="J60" s="16">
        <v>0</v>
      </c>
      <c r="K60" s="17" t="e">
        <f t="shared" si="30"/>
        <v>#VALUE!</v>
      </c>
      <c r="L60" s="16" t="e">
        <f t="shared" si="31"/>
        <v>#VALUE!</v>
      </c>
      <c r="M60" s="16">
        <v>0</v>
      </c>
      <c r="N60" s="16">
        <f t="shared" ref="N60:N65" si="34">N59</f>
        <v>100</v>
      </c>
      <c r="O60" s="16">
        <f t="shared" si="32"/>
        <v>200</v>
      </c>
      <c r="P60" s="16">
        <f t="shared" si="33"/>
        <v>100</v>
      </c>
    </row>
    <row r="61" spans="1:16" x14ac:dyDescent="0.3">
      <c r="A61" s="16">
        <v>49</v>
      </c>
      <c r="B61" s="16" t="s">
        <v>61</v>
      </c>
      <c r="C61" s="16" t="s">
        <v>8</v>
      </c>
      <c r="D61" s="16" t="s">
        <v>30</v>
      </c>
      <c r="E61" s="16" t="s">
        <v>12</v>
      </c>
      <c r="F61" s="16" t="str">
        <f>VLOOKUP(C61,Database!$A:$I,7,0)</f>
        <v>RTM1P48|LAST</v>
      </c>
      <c r="G61" s="16" t="str">
        <f>VLOOKUP(D61,Database!$A:$I,7,0)</f>
        <v>RTM2P49|LAST</v>
      </c>
      <c r="H61" s="16" t="str">
        <f>VLOOKUP(E61,Database!$A:$I,7,0)</f>
        <v>RTM1P50|LAST</v>
      </c>
      <c r="I61" s="16" t="e">
        <f t="shared" si="29"/>
        <v>#VALUE!</v>
      </c>
      <c r="J61" s="16">
        <v>0</v>
      </c>
      <c r="K61" s="17" t="e">
        <f t="shared" si="30"/>
        <v>#VALUE!</v>
      </c>
      <c r="L61" s="16" t="e">
        <f t="shared" si="31"/>
        <v>#VALUE!</v>
      </c>
      <c r="M61" s="16">
        <v>0</v>
      </c>
      <c r="N61" s="16">
        <f t="shared" si="34"/>
        <v>100</v>
      </c>
      <c r="O61" s="16">
        <f t="shared" si="32"/>
        <v>200</v>
      </c>
      <c r="P61" s="16">
        <f t="shared" si="33"/>
        <v>100</v>
      </c>
    </row>
    <row r="62" spans="1:16" x14ac:dyDescent="0.3">
      <c r="A62" s="16">
        <v>50</v>
      </c>
      <c r="B62" s="16" t="s">
        <v>61</v>
      </c>
      <c r="C62" s="16" t="s">
        <v>10</v>
      </c>
      <c r="D62" s="16" t="s">
        <v>32</v>
      </c>
      <c r="E62" s="16" t="s">
        <v>14</v>
      </c>
      <c r="F62" s="16" t="str">
        <f>VLOOKUP(C62,Database!$A:$I,7,0)</f>
        <v>RTM1P49|LAST</v>
      </c>
      <c r="G62" s="16" t="str">
        <f>VLOOKUP(D62,Database!$A:$I,7,0)</f>
        <v>RTM2P50|LAST</v>
      </c>
      <c r="H62" s="16" t="str">
        <f>VLOOKUP(E62,Database!$A:$I,7,0)</f>
        <v>RTM1P51|LAST</v>
      </c>
      <c r="I62" s="16" t="e">
        <f t="shared" si="29"/>
        <v>#VALUE!</v>
      </c>
      <c r="J62" s="16">
        <v>0</v>
      </c>
      <c r="K62" s="17" t="e">
        <f t="shared" si="30"/>
        <v>#VALUE!</v>
      </c>
      <c r="L62" s="16" t="e">
        <f t="shared" si="31"/>
        <v>#VALUE!</v>
      </c>
      <c r="M62" s="16">
        <v>0</v>
      </c>
      <c r="N62" s="16">
        <f t="shared" si="34"/>
        <v>100</v>
      </c>
      <c r="O62" s="16">
        <f t="shared" si="32"/>
        <v>200</v>
      </c>
      <c r="P62" s="16">
        <f t="shared" si="33"/>
        <v>100</v>
      </c>
    </row>
    <row r="63" spans="1:16" x14ac:dyDescent="0.3">
      <c r="A63" s="16">
        <v>51</v>
      </c>
      <c r="B63" s="16" t="s">
        <v>61</v>
      </c>
      <c r="C63" s="16" t="s">
        <v>12</v>
      </c>
      <c r="D63" s="16" t="s">
        <v>34</v>
      </c>
      <c r="E63" s="16" t="s">
        <v>16</v>
      </c>
      <c r="F63" s="16" t="str">
        <f>VLOOKUP(C63,Database!$A:$I,7,0)</f>
        <v>RTM1P50|LAST</v>
      </c>
      <c r="G63" s="16" t="str">
        <f>VLOOKUP(D63,Database!$A:$I,7,0)</f>
        <v>RTM2P51|LAST</v>
      </c>
      <c r="H63" s="16" t="str">
        <f>VLOOKUP(E63,Database!$A:$I,7,0)</f>
        <v>RTM1P52|LAST</v>
      </c>
      <c r="I63" s="16" t="e">
        <f t="shared" si="29"/>
        <v>#VALUE!</v>
      </c>
      <c r="J63" s="16">
        <v>0</v>
      </c>
      <c r="K63" s="17" t="e">
        <f t="shared" si="30"/>
        <v>#VALUE!</v>
      </c>
      <c r="L63" s="16" t="e">
        <f t="shared" si="31"/>
        <v>#VALUE!</v>
      </c>
      <c r="M63" s="16">
        <v>0</v>
      </c>
      <c r="N63" s="16">
        <f t="shared" si="34"/>
        <v>100</v>
      </c>
      <c r="O63" s="16">
        <f t="shared" si="32"/>
        <v>200</v>
      </c>
      <c r="P63" s="16">
        <f t="shared" si="33"/>
        <v>100</v>
      </c>
    </row>
    <row r="64" spans="1:16" x14ac:dyDescent="0.3">
      <c r="A64" s="16">
        <v>52</v>
      </c>
      <c r="B64" s="16" t="s">
        <v>61</v>
      </c>
      <c r="C64" s="16" t="s">
        <v>14</v>
      </c>
      <c r="D64" s="16" t="s">
        <v>36</v>
      </c>
      <c r="E64" s="16" t="s">
        <v>18</v>
      </c>
      <c r="F64" s="16" t="str">
        <f>VLOOKUP(C64,Database!$A:$I,7,0)</f>
        <v>RTM1P51|LAST</v>
      </c>
      <c r="G64" s="16" t="str">
        <f>VLOOKUP(D64,Database!$A:$I,7,0)</f>
        <v>RTM2P52|LAST</v>
      </c>
      <c r="H64" s="16" t="str">
        <f>VLOOKUP(E64,Database!$A:$I,7,0)</f>
        <v>RTM1P53|LAST</v>
      </c>
      <c r="I64" s="16" t="e">
        <f t="shared" si="29"/>
        <v>#VALUE!</v>
      </c>
      <c r="J64" s="16">
        <v>0</v>
      </c>
      <c r="K64" s="17" t="e">
        <f t="shared" si="30"/>
        <v>#VALUE!</v>
      </c>
      <c r="L64" s="16" t="e">
        <f t="shared" si="31"/>
        <v>#VALUE!</v>
      </c>
      <c r="M64" s="16">
        <v>0</v>
      </c>
      <c r="N64" s="16">
        <f t="shared" si="34"/>
        <v>100</v>
      </c>
      <c r="O64" s="16">
        <f t="shared" si="32"/>
        <v>200</v>
      </c>
      <c r="P64" s="16">
        <f t="shared" si="33"/>
        <v>100</v>
      </c>
    </row>
    <row r="65" spans="1:16" x14ac:dyDescent="0.3">
      <c r="A65" s="16">
        <v>53</v>
      </c>
      <c r="B65" s="16" t="s">
        <v>61</v>
      </c>
      <c r="C65" s="16" t="s">
        <v>16</v>
      </c>
      <c r="D65" s="16" t="s">
        <v>38</v>
      </c>
      <c r="E65" s="16" t="s">
        <v>20</v>
      </c>
      <c r="F65" s="16" t="str">
        <f t="shared" ref="F65" si="35">F64</f>
        <v>RTM1P51|LAST</v>
      </c>
      <c r="G65" s="16" t="str">
        <f>VLOOKUP(D65,Database!$A:$I,7,0)</f>
        <v>RTM2P53|LAST</v>
      </c>
      <c r="H65" s="16" t="str">
        <f>VLOOKUP(E65,Database!$A:$I,7,0)</f>
        <v>RTM1P54|LAST</v>
      </c>
      <c r="I65" s="16" t="e">
        <f t="shared" si="29"/>
        <v>#VALUE!</v>
      </c>
      <c r="J65" s="16">
        <v>0</v>
      </c>
      <c r="K65" s="17" t="e">
        <f t="shared" si="30"/>
        <v>#VALUE!</v>
      </c>
      <c r="L65" s="16" t="e">
        <f t="shared" si="31"/>
        <v>#VALUE!</v>
      </c>
      <c r="M65" s="16">
        <v>0</v>
      </c>
      <c r="N65" s="16">
        <f t="shared" si="34"/>
        <v>100</v>
      </c>
      <c r="O65" s="16">
        <f t="shared" si="32"/>
        <v>200</v>
      </c>
      <c r="P65" s="16">
        <f t="shared" si="33"/>
        <v>100</v>
      </c>
    </row>
    <row r="66" spans="1:16" s="13" customFormat="1" x14ac:dyDescent="0.3">
      <c r="A66" s="13">
        <v>46</v>
      </c>
      <c r="B66" s="13" t="s">
        <v>61</v>
      </c>
      <c r="C66" s="13" t="s">
        <v>1</v>
      </c>
      <c r="D66" s="13" t="s">
        <v>23</v>
      </c>
      <c r="E66" s="13" t="s">
        <v>5</v>
      </c>
      <c r="F66" s="13" t="str">
        <f>VLOOKUP(C66,Database!$A:$I,7,0)</f>
        <v>RTM1C45|LAST</v>
      </c>
      <c r="G66" s="13" t="str">
        <f>VLOOKUP(D66,Database!$A:$I,7,0)</f>
        <v>RTM2C46|LAST</v>
      </c>
      <c r="H66" s="13" t="str">
        <f>VLOOKUP(E66,Database!$A:$I,7,0)</f>
        <v>RTM1C47|LAST</v>
      </c>
      <c r="I66" s="13" t="e">
        <f t="shared" ref="I66:I73" si="36">F66-G66</f>
        <v>#VALUE!</v>
      </c>
      <c r="J66" s="13">
        <v>0</v>
      </c>
      <c r="K66" s="14" t="e">
        <f t="shared" ref="K66:K73" si="37">I66-J66</f>
        <v>#VALUE!</v>
      </c>
      <c r="L66" s="13" t="e">
        <f t="shared" ref="L66:L73" si="38">IF(ABS(K66)&gt;$L$6,-SIGN(K66),0)</f>
        <v>#VALUE!</v>
      </c>
      <c r="M66" s="13">
        <v>0</v>
      </c>
      <c r="N66" s="15">
        <v>100</v>
      </c>
      <c r="O66" s="15">
        <v>200</v>
      </c>
      <c r="P66" s="15">
        <v>100</v>
      </c>
    </row>
    <row r="67" spans="1:16" s="13" customFormat="1" x14ac:dyDescent="0.3">
      <c r="A67" s="13">
        <v>47</v>
      </c>
      <c r="B67" s="13" t="s">
        <v>61</v>
      </c>
      <c r="C67" s="13" t="s">
        <v>3</v>
      </c>
      <c r="D67" s="13" t="s">
        <v>25</v>
      </c>
      <c r="E67" s="13" t="s">
        <v>7</v>
      </c>
      <c r="F67" s="13" t="str">
        <f>VLOOKUP(C67,Database!$A:$I,7,0)</f>
        <v>RTM1C46|LAST</v>
      </c>
      <c r="G67" s="13" t="str">
        <f>VLOOKUP(D67,Database!$A:$I,7,0)</f>
        <v>RTM2C47|LAST</v>
      </c>
      <c r="H67" s="13" t="str">
        <f>VLOOKUP(E67,Database!$A:$I,7,0)</f>
        <v>RTM1C48|LAST</v>
      </c>
      <c r="I67" s="13" t="e">
        <f t="shared" si="36"/>
        <v>#VALUE!</v>
      </c>
      <c r="J67" s="13">
        <v>0</v>
      </c>
      <c r="K67" s="14" t="e">
        <f t="shared" si="37"/>
        <v>#VALUE!</v>
      </c>
      <c r="L67" s="13" t="e">
        <f t="shared" si="38"/>
        <v>#VALUE!</v>
      </c>
      <c r="M67" s="13">
        <v>0</v>
      </c>
      <c r="N67" s="13">
        <f>N66</f>
        <v>100</v>
      </c>
      <c r="O67" s="13">
        <f t="shared" ref="O67:O73" si="39">O66</f>
        <v>200</v>
      </c>
      <c r="P67" s="13">
        <f t="shared" ref="P67:P73" si="40">P66</f>
        <v>100</v>
      </c>
    </row>
    <row r="68" spans="1:16" s="13" customFormat="1" x14ac:dyDescent="0.3">
      <c r="A68" s="13">
        <v>48</v>
      </c>
      <c r="B68" s="13" t="s">
        <v>61</v>
      </c>
      <c r="C68" s="13" t="s">
        <v>5</v>
      </c>
      <c r="D68" s="13" t="s">
        <v>27</v>
      </c>
      <c r="E68" s="13" t="s">
        <v>9</v>
      </c>
      <c r="F68" s="13" t="str">
        <f>VLOOKUP(C68,Database!$A:$I,7,0)</f>
        <v>RTM1C47|LAST</v>
      </c>
      <c r="G68" s="13" t="str">
        <f>VLOOKUP(D68,Database!$A:$I,7,0)</f>
        <v>RTM2C48|LAST</v>
      </c>
      <c r="H68" s="13" t="str">
        <f>VLOOKUP(E68,Database!$A:$I,7,0)</f>
        <v>RTM1C49|LAST</v>
      </c>
      <c r="I68" s="13" t="e">
        <f t="shared" si="36"/>
        <v>#VALUE!</v>
      </c>
      <c r="J68" s="13">
        <v>0</v>
      </c>
      <c r="K68" s="14" t="e">
        <f t="shared" si="37"/>
        <v>#VALUE!</v>
      </c>
      <c r="L68" s="13" t="e">
        <f t="shared" si="38"/>
        <v>#VALUE!</v>
      </c>
      <c r="M68" s="13">
        <v>0</v>
      </c>
      <c r="N68" s="13">
        <f t="shared" ref="N68:N73" si="41">N67</f>
        <v>100</v>
      </c>
      <c r="O68" s="13">
        <f t="shared" si="39"/>
        <v>200</v>
      </c>
      <c r="P68" s="13">
        <f t="shared" si="40"/>
        <v>100</v>
      </c>
    </row>
    <row r="69" spans="1:16" s="13" customFormat="1" x14ac:dyDescent="0.3">
      <c r="A69" s="13">
        <v>49</v>
      </c>
      <c r="B69" s="13" t="s">
        <v>61</v>
      </c>
      <c r="C69" s="13" t="s">
        <v>7</v>
      </c>
      <c r="D69" s="13" t="s">
        <v>29</v>
      </c>
      <c r="E69" s="13" t="s">
        <v>11</v>
      </c>
      <c r="F69" s="13" t="str">
        <f>VLOOKUP(C69,Database!$A:$I,7,0)</f>
        <v>RTM1C48|LAST</v>
      </c>
      <c r="G69" s="13" t="str">
        <f>VLOOKUP(D69,Database!$A:$I,7,0)</f>
        <v>RTM2C49|LAST</v>
      </c>
      <c r="H69" s="13" t="str">
        <f>VLOOKUP(E69,Database!$A:$I,7,0)</f>
        <v>RTM1C50|LAST</v>
      </c>
      <c r="I69" s="13" t="e">
        <f t="shared" si="36"/>
        <v>#VALUE!</v>
      </c>
      <c r="J69" s="13">
        <v>0</v>
      </c>
      <c r="K69" s="14" t="e">
        <f t="shared" si="37"/>
        <v>#VALUE!</v>
      </c>
      <c r="L69" s="13" t="e">
        <f t="shared" si="38"/>
        <v>#VALUE!</v>
      </c>
      <c r="M69" s="13">
        <v>0</v>
      </c>
      <c r="N69" s="13">
        <f t="shared" si="41"/>
        <v>100</v>
      </c>
      <c r="O69" s="13">
        <f t="shared" si="39"/>
        <v>200</v>
      </c>
      <c r="P69" s="13">
        <f t="shared" si="40"/>
        <v>100</v>
      </c>
    </row>
    <row r="70" spans="1:16" s="13" customFormat="1" x14ac:dyDescent="0.3">
      <c r="A70" s="13">
        <v>50</v>
      </c>
      <c r="B70" s="13" t="s">
        <v>61</v>
      </c>
      <c r="C70" s="13" t="s">
        <v>9</v>
      </c>
      <c r="D70" s="13" t="s">
        <v>31</v>
      </c>
      <c r="E70" s="13" t="s">
        <v>13</v>
      </c>
      <c r="F70" s="13" t="str">
        <f>VLOOKUP(C70,Database!$A:$I,7,0)</f>
        <v>RTM1C49|LAST</v>
      </c>
      <c r="G70" s="13" t="str">
        <f>VLOOKUP(D70,Database!$A:$I,7,0)</f>
        <v>RTM2C50|LAST</v>
      </c>
      <c r="H70" s="13" t="str">
        <f>VLOOKUP(E70,Database!$A:$I,7,0)</f>
        <v>RTM1C51|LAST</v>
      </c>
      <c r="I70" s="13" t="e">
        <f t="shared" si="36"/>
        <v>#VALUE!</v>
      </c>
      <c r="J70" s="13">
        <v>0</v>
      </c>
      <c r="K70" s="14" t="e">
        <f t="shared" si="37"/>
        <v>#VALUE!</v>
      </c>
      <c r="L70" s="13" t="e">
        <f t="shared" si="38"/>
        <v>#VALUE!</v>
      </c>
      <c r="M70" s="13">
        <v>0</v>
      </c>
      <c r="N70" s="13">
        <f t="shared" si="41"/>
        <v>100</v>
      </c>
      <c r="O70" s="13">
        <f t="shared" si="39"/>
        <v>200</v>
      </c>
      <c r="P70" s="13">
        <f t="shared" si="40"/>
        <v>100</v>
      </c>
    </row>
    <row r="71" spans="1:16" s="13" customFormat="1" x14ac:dyDescent="0.3">
      <c r="A71" s="13">
        <v>51</v>
      </c>
      <c r="B71" s="13" t="s">
        <v>61</v>
      </c>
      <c r="C71" s="13" t="s">
        <v>11</v>
      </c>
      <c r="D71" s="13" t="s">
        <v>33</v>
      </c>
      <c r="E71" s="13" t="s">
        <v>15</v>
      </c>
      <c r="F71" s="13" t="str">
        <f>VLOOKUP(C71,Database!$A:$I,7,0)</f>
        <v>RTM1C50|LAST</v>
      </c>
      <c r="G71" s="13" t="str">
        <f>VLOOKUP(D71,Database!$A:$I,7,0)</f>
        <v>RTM2C51|LAST</v>
      </c>
      <c r="H71" s="13" t="str">
        <f>VLOOKUP(E71,Database!$A:$I,7,0)</f>
        <v>RTM1C52|LAST</v>
      </c>
      <c r="I71" s="13" t="e">
        <f t="shared" si="36"/>
        <v>#VALUE!</v>
      </c>
      <c r="J71" s="13">
        <v>0</v>
      </c>
      <c r="K71" s="14" t="e">
        <f t="shared" si="37"/>
        <v>#VALUE!</v>
      </c>
      <c r="L71" s="13" t="e">
        <f t="shared" si="38"/>
        <v>#VALUE!</v>
      </c>
      <c r="M71" s="13">
        <v>0</v>
      </c>
      <c r="N71" s="13">
        <f t="shared" si="41"/>
        <v>100</v>
      </c>
      <c r="O71" s="13">
        <f t="shared" si="39"/>
        <v>200</v>
      </c>
      <c r="P71" s="13">
        <f t="shared" si="40"/>
        <v>100</v>
      </c>
    </row>
    <row r="72" spans="1:16" s="13" customFormat="1" x14ac:dyDescent="0.3">
      <c r="A72" s="13">
        <v>52</v>
      </c>
      <c r="B72" s="13" t="s">
        <v>61</v>
      </c>
      <c r="C72" s="13" t="s">
        <v>13</v>
      </c>
      <c r="D72" s="13" t="s">
        <v>35</v>
      </c>
      <c r="E72" s="13" t="s">
        <v>17</v>
      </c>
      <c r="F72" s="13" t="str">
        <f>VLOOKUP(C72,Database!$A:$I,7,0)</f>
        <v>RTM1C51|LAST</v>
      </c>
      <c r="G72" s="13" t="str">
        <f>VLOOKUP(D72,Database!$A:$I,7,0)</f>
        <v>RTM2C52|LAST</v>
      </c>
      <c r="H72" s="13" t="str">
        <f>VLOOKUP(E72,Database!$A:$I,7,0)</f>
        <v>RTM1C53|LAST</v>
      </c>
      <c r="I72" s="13" t="e">
        <f t="shared" si="36"/>
        <v>#VALUE!</v>
      </c>
      <c r="J72" s="13">
        <v>0</v>
      </c>
      <c r="K72" s="14" t="e">
        <f t="shared" si="37"/>
        <v>#VALUE!</v>
      </c>
      <c r="L72" s="13" t="e">
        <f t="shared" si="38"/>
        <v>#VALUE!</v>
      </c>
      <c r="M72" s="13">
        <v>0</v>
      </c>
      <c r="N72" s="13">
        <f t="shared" si="41"/>
        <v>100</v>
      </c>
      <c r="O72" s="13">
        <f t="shared" si="39"/>
        <v>200</v>
      </c>
      <c r="P72" s="13">
        <f t="shared" si="40"/>
        <v>100</v>
      </c>
    </row>
    <row r="73" spans="1:16" s="13" customFormat="1" x14ac:dyDescent="0.3">
      <c r="A73" s="13">
        <v>53</v>
      </c>
      <c r="B73" s="13" t="s">
        <v>61</v>
      </c>
      <c r="C73" s="13" t="s">
        <v>15</v>
      </c>
      <c r="D73" s="13" t="s">
        <v>37</v>
      </c>
      <c r="E73" s="13" t="s">
        <v>19</v>
      </c>
      <c r="F73" s="13" t="str">
        <f t="shared" ref="F73" si="42">F72</f>
        <v>RTM1C51|LAST</v>
      </c>
      <c r="G73" s="13" t="str">
        <f>VLOOKUP(D73,Database!$A:$I,7,0)</f>
        <v>RTM2C53|LAST</v>
      </c>
      <c r="H73" s="13" t="str">
        <f>VLOOKUP(E73,Database!$A:$I,7,0)</f>
        <v>RTM1C54|LAST</v>
      </c>
      <c r="I73" s="13" t="e">
        <f t="shared" si="36"/>
        <v>#VALUE!</v>
      </c>
      <c r="J73" s="13">
        <v>0</v>
      </c>
      <c r="K73" s="14" t="e">
        <f t="shared" si="37"/>
        <v>#VALUE!</v>
      </c>
      <c r="L73" s="13" t="e">
        <f t="shared" si="38"/>
        <v>#VALUE!</v>
      </c>
      <c r="M73" s="13">
        <v>0</v>
      </c>
      <c r="N73" s="13">
        <f t="shared" si="41"/>
        <v>100</v>
      </c>
      <c r="O73" s="13">
        <f t="shared" si="39"/>
        <v>200</v>
      </c>
      <c r="P73" s="13">
        <f t="shared" si="40"/>
        <v>100</v>
      </c>
    </row>
  </sheetData>
  <mergeCells count="1">
    <mergeCell ref="C6:E6"/>
  </mergeCells>
  <phoneticPr fontId="4" type="noConversion"/>
  <conditionalFormatting sqref="B2:E2">
    <cfRule type="cellIs" dxfId="10" priority="13" operator="lessThan">
      <formula>0</formula>
    </cfRule>
  </conditionalFormatting>
  <conditionalFormatting sqref="L8:L37">
    <cfRule type="cellIs" dxfId="9" priority="9" operator="greaterThan">
      <formula>0</formula>
    </cfRule>
    <cfRule type="cellIs" dxfId="8" priority="10" operator="lessThan">
      <formula>0</formula>
    </cfRule>
  </conditionalFormatting>
  <conditionalFormatting sqref="L38:L47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L48:L57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L58:L65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L66:L7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22860</xdr:colOff>
                    <xdr:row>1</xdr:row>
                    <xdr:rowOff>45720</xdr:rowOff>
                  </from>
                  <to>
                    <xdr:col>9</xdr:col>
                    <xdr:colOff>228600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Strat2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Mayank</dc:creator>
  <cp:lastModifiedBy>Mayank</cp:lastModifiedBy>
  <dcterms:created xsi:type="dcterms:W3CDTF">2020-02-18T21:46:11Z</dcterms:created>
  <dcterms:modified xsi:type="dcterms:W3CDTF">2020-02-22T02:55:44Z</dcterms:modified>
</cp:coreProperties>
</file>